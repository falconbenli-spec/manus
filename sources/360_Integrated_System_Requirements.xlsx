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93ac2355b474bb3" /></Relationships>
</file>

<file path=xl/workbook.xml><?xml version="1.0" encoding="utf-8"?>
<x:workbook xmlns:x="http://schemas.openxmlformats.org/spreadsheetml/2006/main">
  <x:sheets>
    <x:sheet xmlns:r="http://schemas.openxmlformats.org/officeDocument/2006/relationships" name="ابدأ هنا" sheetId="1" r:id="R18faf5bf2cb34106"/>
    <x:sheet xmlns:r="http://schemas.openxmlformats.org/officeDocument/2006/relationships" name="المتطلبات" sheetId="2" r:id="R48ce5213090e421a"/>
    <x:sheet xmlns:r="http://schemas.openxmlformats.org/officeDocument/2006/relationships" name="المشاريع الحالية" sheetId="3" r:id="Re18172d322ce4c20"/>
    <x:sheet xmlns:r="http://schemas.openxmlformats.org/officeDocument/2006/relationships" name="نتائج المراجعة" sheetId="4" r:id="Rea9eab9f38ef4ba7"/>
    <x:sheet xmlns:r="http://schemas.openxmlformats.org/officeDocument/2006/relationships" name="البيانات المرجعية" sheetId="5" r:id="R1d231bbe9067414a"/>
    <x:sheet xmlns:r="http://schemas.openxmlformats.org/officeDocument/2006/relationships" name="مسارات العمل" sheetId="6" r:id="R810297de1bec45a5"/>
    <x:sheet xmlns:r="http://schemas.openxmlformats.org/officeDocument/2006/relationships" name="التكاملات" sheetId="7" r:id="R3d05c1ca198a4789"/>
    <x:sheet xmlns:r="http://schemas.openxmlformats.org/officeDocument/2006/relationships" name="الصلاحيات" sheetId="8" r:id="Rca3267a0bae54368"/>
    <x:sheet xmlns:r="http://schemas.openxmlformats.org/officeDocument/2006/relationships" name="خطة التنفيذ" sheetId="9" r:id="Re977cfbf7bd2496b"/>
    <x:sheet xmlns:r="http://schemas.openxmlformats.org/officeDocument/2006/relationships" name="قرارات مطلوبة" sheetId="10" r:id="Rab0b99e1bcf347df"/>
    <x:sheet xmlns:r="http://schemas.openxmlformats.org/officeDocument/2006/relationships" name="المصادر" sheetId="11" r:id="Rea04881721b346ea"/>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sz val="10"/>
      <x:color rgb="FF183A3B"/>
      <x:name val="Arial"/>
    </x:font>
    <x:font>
      <x:b/>
      <x:sz val="19"/>
      <x:color rgb="FFFFFFFF"/>
      <x:name val="Arial"/>
    </x:font>
    <x:font>
      <x:b/>
      <x:sz val="10"/>
      <x:color rgb="FFFFFFFF"/>
      <x:name val="Arial"/>
    </x:font>
    <x:font>
      <x:sz val="11"/>
      <x:color rgb="FF183A3B"/>
      <x:name val="Arial"/>
    </x:font>
    <x:font>
      <x:b/>
      <x:sz val="22"/>
      <x:color rgb="FFFFFFFF"/>
      <x:name val="Arial"/>
    </x:font>
    <x:font>
      <x:sz val="11"/>
      <x:color rgb="FF183A3B"/>
      <x:name val="Arial"/>
    </x:font>
    <x:font>
      <x:b/>
      <x:sz val="11"/>
      <x:color rgb="FF183A3B"/>
      <x:name val="Arial"/>
    </x:font>
    <x:font>
      <x:b/>
      <x:sz val="28"/>
      <x:color rgb="FF0A887B"/>
      <x:name val="Arial"/>
    </x:font>
    <x:font>
      <x:b/>
      <x:sz val="13"/>
      <x:color rgb="FFFFFFFF"/>
      <x:name val="Arial"/>
    </x:font>
    <x:font>
      <x:sz val="12"/>
      <x:color rgb="FF183A3B"/>
      <x:name val="Arial"/>
    </x:font>
    <x:font>
      <x:b/>
      <x:sz val="11"/>
      <x:color rgb="FFFFFFFF"/>
      <x:name val="Arial"/>
    </x:font>
    <x:font>
      <x:b/>
      <x:sz val="11"/>
      <x:color rgb="FF0A887B"/>
      <x:name val="Arial"/>
    </x:font>
    <x:font>
      <x:b/>
      <x:sz val="11"/>
      <x:color rgb="FF0A887B"/>
      <x:name val="Carlito"/>
    </x:font>
    <x:font>
      <x:b/>
      <x:sz val="12"/>
      <x:color rgb="FF183A3B"/>
      <x:name val="Arial"/>
    </x:font>
    <x:font>
      <x:b/>
      <x:sz val="12"/>
      <x:color rgb="FFFFFFFF"/>
      <x:name val="Arial"/>
    </x:font>
  </x:fonts>
  <x:fills count="6">
    <x:fill>
      <x:patternFill patternType="none"/>
    </x:fill>
    <x:fill>
      <x:patternFill patternType="gray125"/>
    </x:fill>
    <x:fill>
      <x:patternFill patternType="solid">
        <x:fgColor rgb="FF183A3B"/>
      </x:patternFill>
    </x:fill>
    <x:fill>
      <x:patternFill patternType="solid">
        <x:fgColor rgb="FFE7F3F0"/>
      </x:patternFill>
    </x:fill>
    <x:fill>
      <x:patternFill patternType="solid">
        <x:fgColor rgb="FF0A887B"/>
      </x:patternFill>
    </x:fill>
    <x:fill>
      <x:patternFill patternType="solid">
        <x:fgColor rgb="FFF4F7F8"/>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right" wrapText="1"/>
    </x:xf>
    <x:xf numFmtId="0" fontId="1" fillId="0" borderId="0" xfId="0" applyNumberFormat="1" applyFont="1" applyFill="1" applyBorder="1" applyAlignment="1">
      <x:alignment horizontal="right"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right" wrapText="1"/>
    </x:xf>
    <x:xf numFmtId="0" fontId="1" fillId="0" borderId="1" xfId="0" applyNumberFormat="1" applyFont="1" applyFill="1" applyBorder="1" applyAlignment="1">
      <x:alignment horizontal="right" vertical="center" wrapText="1"/>
    </x:xf>
    <x:xf numFmtId="0" fontId="1" fillId="2" borderId="0" xfId="0" applyNumberFormat="1" applyFont="1" applyFill="1" applyBorder="1" applyAlignment="1">
      <x:alignment horizontal="right" vertical="center" wrapText="1"/>
    </x:xf>
    <x:xf numFmtId="0" fontId="2" fillId="2" borderId="0" xfId="0" applyNumberFormat="1" applyFont="1" applyFill="1" applyBorder="1" applyAlignment="1">
      <x:alignment horizontal="right" vertical="center" wrapText="1"/>
    </x:xf>
    <x:xf numFmtId="0" fontId="1" fillId="2" borderId="1" xfId="0" applyNumberFormat="1" applyFont="1" applyFill="1" applyBorder="1" applyAlignment="1">
      <x:alignment horizontal="right" vertical="center" wrapText="1"/>
    </x:xf>
    <x:xf numFmtId="0" fontId="2" fillId="2" borderId="1" xfId="0" applyNumberFormat="1" applyFont="1" applyFill="1" applyBorder="1" applyAlignment="1">
      <x:alignment horizontal="right" vertical="center" wrapText="1"/>
    </x:xf>
    <x:xf numFmtId="0" fontId="1" fillId="3" borderId="0" xfId="0" applyNumberFormat="1" applyFont="1" applyFill="1" applyBorder="1" applyAlignment="1">
      <x:alignment horizontal="right" vertical="center" wrapText="1"/>
    </x:xf>
    <x:xf numFmtId="0" fontId="1" fillId="3" borderId="1"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0" fontId="3" fillId="4" borderId="0" xfId="0" applyNumberFormat="1" applyFont="1" applyFill="1" applyBorder="1" applyAlignment="1">
      <x:alignment horizontal="right" vertical="center" wrapText="1"/>
    </x:xf>
    <x:xf numFmtId="0" fontId="1" fillId="4" borderId="1" xfId="0" applyNumberFormat="1" applyFont="1" applyFill="1" applyBorder="1" applyAlignment="1">
      <x:alignment horizontal="right" vertical="center" wrapText="1"/>
    </x:xf>
    <x:xf numFmtId="0" fontId="3" fillId="4" borderId="1" xfId="0" applyNumberFormat="1" applyFont="1" applyFill="1" applyBorder="1" applyAlignment="1">
      <x:alignment horizontal="righ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horizontal="right" wrapText="1"/>
    </x:xf>
    <x:xf numFmtId="0" fontId="4" fillId="0" borderId="0" xfId="0" applyNumberFormat="1" applyFont="1" applyFill="1" applyBorder="1" applyAlignment="1">
      <x:alignment horizontal="right" vertical="center"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horizontal="right" wrapText="1"/>
    </x:xf>
    <x:xf numFmtId="0" fontId="4" fillId="0" borderId="1" xfId="0" applyNumberFormat="1" applyFont="1" applyFill="1" applyBorder="1" applyAlignment="1">
      <x:alignment horizontal="right" vertical="center" wrapText="1"/>
    </x:xf>
    <x:xf numFmtId="0" fontId="4" fillId="2" borderId="0" xfId="0" applyNumberFormat="1" applyFont="1" applyFill="1" applyBorder="1" applyAlignment="1">
      <x:alignment horizontal="right" vertical="center" wrapText="1"/>
    </x:xf>
    <x:xf numFmtId="0" fontId="5" fillId="2" borderId="0" xfId="0" applyNumberFormat="1" applyFont="1" applyFill="1" applyBorder="1" applyAlignment="1">
      <x:alignment horizontal="right" vertical="center" wrapText="1"/>
    </x:xf>
    <x:xf numFmtId="0" fontId="4" fillId="2" borderId="1" xfId="0" applyNumberFormat="1" applyFont="1" applyFill="1" applyBorder="1" applyAlignment="1">
      <x:alignment horizontal="right" vertical="center" wrapText="1"/>
    </x:xf>
    <x:xf numFmtId="0" fontId="5" fillId="2" borderId="1" xfId="0" applyNumberFormat="1" applyFont="1" applyFill="1" applyBorder="1" applyAlignment="1">
      <x:alignment horizontal="right" vertical="center" wrapText="1"/>
    </x:xf>
    <x:xf numFmtId="0" fontId="4" fillId="3" borderId="0" xfId="0" applyNumberFormat="1" applyFont="1" applyFill="1" applyBorder="1" applyAlignment="1">
      <x:alignment horizontal="right" vertical="center" wrapText="1"/>
    </x:xf>
    <x:xf numFmtId="0" fontId="6" fillId="3" borderId="0" xfId="0" applyNumberFormat="1" applyFont="1" applyFill="1" applyBorder="1" applyAlignment="1">
      <x:alignment horizontal="right" vertical="center" wrapText="1"/>
    </x:xf>
    <x:xf numFmtId="0" fontId="4" fillId="3" borderId="1" xfId="0" applyNumberFormat="1" applyFont="1" applyFill="1" applyBorder="1" applyAlignment="1">
      <x:alignment horizontal="right" vertical="center" wrapText="1"/>
    </x:xf>
    <x:xf numFmtId="0" fontId="6" fillId="3" borderId="1" xfId="0" applyNumberFormat="1" applyFont="1" applyFill="1" applyBorder="1" applyAlignment="1">
      <x:alignment horizontal="right" vertical="center" wrapText="1"/>
    </x:xf>
    <x:xf numFmtId="0" fontId="7" fillId="3" borderId="0" xfId="0" applyNumberFormat="1" applyFont="1" applyFill="1" applyBorder="1" applyAlignment="1">
      <x:alignment horizontal="right" vertical="center" wrapText="1"/>
    </x:xf>
    <x:xf numFmtId="0" fontId="7" fillId="3" borderId="1" xfId="0" applyNumberFormat="1" applyFont="1" applyFill="1" applyBorder="1" applyAlignment="1">
      <x:alignment horizontal="right" vertical="center" wrapText="1"/>
    </x:xf>
    <x:xf numFmtId="0" fontId="4" fillId="5" borderId="0" xfId="0" applyNumberFormat="1" applyFont="1" applyFill="1" applyBorder="1" applyAlignment="1">
      <x:alignment horizontal="right" vertical="center" wrapText="1"/>
    </x:xf>
    <x:xf numFmtId="0" fontId="8" fillId="5" borderId="0" xfId="0" applyNumberFormat="1" applyFont="1" applyFill="1" applyBorder="1" applyAlignment="1">
      <x:alignment horizontal="right" vertical="center" wrapText="1"/>
    </x:xf>
    <x:xf numFmtId="0" fontId="8" fillId="5" borderId="0" xfId="0" applyNumberFormat="1" applyFont="1" applyFill="1" applyBorder="1" applyAlignment="1">
      <x:alignment horizontal="center" vertical="center" wrapText="1"/>
    </x:xf>
    <x:xf numFmtId="0" fontId="4" fillId="5" borderId="1" xfId="0" applyNumberFormat="1" applyFont="1" applyFill="1" applyBorder="1" applyAlignment="1">
      <x:alignment horizontal="right" vertical="center" wrapText="1"/>
    </x:xf>
    <x:xf numFmtId="0" fontId="8" fillId="5" borderId="1" xfId="0" applyNumberFormat="1" applyFont="1" applyFill="1" applyBorder="1" applyAlignment="1">
      <x:alignment horizontal="right" vertical="center" wrapText="1"/>
    </x:xf>
    <x:xf numFmtId="0" fontId="8" fillId="5" borderId="1" xfId="0" applyNumberFormat="1" applyFont="1" applyFill="1" applyBorder="1" applyAlignment="1">
      <x:alignment horizontal="center" vertical="center" wrapText="1"/>
    </x:xf>
    <x:xf numFmtId="0" fontId="9" fillId="2" borderId="0" xfId="0" applyNumberFormat="1" applyFont="1" applyFill="1" applyBorder="1" applyAlignment="1">
      <x:alignment horizontal="right" vertical="center" wrapText="1"/>
    </x:xf>
    <x:xf numFmtId="0" fontId="9" fillId="2" borderId="1" xfId="0" applyNumberFormat="1" applyFont="1" applyFill="1" applyBorder="1" applyAlignment="1">
      <x:alignment horizontal="right" vertical="center" wrapText="1"/>
    </x:xf>
    <x:xf numFmtId="0" fontId="10" fillId="5" borderId="0" xfId="0" applyNumberFormat="1" applyFont="1" applyFill="1" applyBorder="1" applyAlignment="1">
      <x:alignment horizontal="right" vertical="center" wrapText="1"/>
    </x:xf>
    <x:xf numFmtId="0" fontId="10" fillId="5" borderId="1" xfId="0" applyNumberFormat="1" applyFont="1" applyFill="1" applyBorder="1" applyAlignment="1">
      <x:alignment horizontal="right" vertical="center" wrapText="1"/>
    </x:xf>
    <x:xf numFmtId="0" fontId="6" fillId="5" borderId="0" xfId="0" applyNumberFormat="1" applyFont="1" applyFill="1" applyBorder="1" applyAlignment="1">
      <x:alignment horizontal="right" vertical="center" wrapText="1"/>
    </x:xf>
    <x:xf numFmtId="0" fontId="6" fillId="5" borderId="1" xfId="0" applyNumberFormat="1" applyFont="1" applyFill="1" applyBorder="1" applyAlignment="1">
      <x:alignment horizontal="right" vertical="center" wrapText="1"/>
    </x:xf>
    <x:xf numFmtId="0" fontId="4" fillId="4" borderId="0" xfId="0" applyNumberFormat="1" applyFont="1" applyFill="1" applyBorder="1" applyAlignment="1">
      <x:alignment horizontal="right" vertical="center" wrapText="1"/>
    </x:xf>
    <x:xf numFmtId="0" fontId="11" fillId="4" borderId="0" xfId="0" applyNumberFormat="1" applyFont="1" applyFill="1" applyBorder="1" applyAlignment="1">
      <x:alignment horizontal="right" vertical="center" wrapText="1"/>
    </x:xf>
    <x:xf numFmtId="0" fontId="4" fillId="4" borderId="1" xfId="0" applyNumberFormat="1" applyFont="1" applyFill="1" applyBorder="1" applyAlignment="1">
      <x:alignment horizontal="right" vertical="center" wrapText="1"/>
    </x:xf>
    <x:xf numFmtId="0" fontId="11" fillId="4" borderId="1" xfId="0" applyNumberFormat="1" applyFont="1" applyFill="1" applyBorder="1" applyAlignment="1">
      <x:alignment horizontal="right" vertical="center" wrapText="1"/>
    </x:xf>
    <x:xf numFmtId="0" fontId="12" fillId="0" borderId="0" xfId="0" applyNumberFormat="1" applyFont="1" applyFill="1" applyBorder="1" applyAlignment="1">
      <x:alignment horizontal="right" vertical="center" wrapText="1"/>
    </x:xf>
    <x:xf numFmtId="0" fontId="13" fillId="0" borderId="0" xfId="0" applyNumberFormat="1" applyFont="1" applyFill="1" applyBorder="1"/>
    <x:xf numFmtId="0" fontId="12" fillId="0" borderId="0" xfId="0" applyNumberFormat="1" applyFont="1" applyFill="1" applyBorder="1" applyAlignment="1">
      <x:alignment horizontal="center" vertical="center" wrapText="1"/>
    </x:xf>
    <x:xf numFmtId="0" fontId="13" fillId="0" borderId="0" xfId="0" applyNumberFormat="1" applyFont="1" applyFill="1" applyBorder="1" applyAlignment="1">
      <x:alignment horizontal="center"/>
    </x:xf>
    <x:xf numFmtId="0" fontId="12" fillId="0" borderId="1" xfId="0" applyNumberFormat="1" applyFont="1" applyFill="1" applyBorder="1" applyAlignment="1">
      <x:alignment horizontal="right" vertical="center" wrapText="1"/>
    </x:xf>
    <x:xf numFmtId="0" fontId="13" fillId="0" borderId="1" xfId="0" applyNumberFormat="1" applyFont="1" applyFill="1" applyBorder="1"/>
    <x:xf numFmtId="0" fontId="12" fillId="0" borderId="1" xfId="0" applyNumberFormat="1" applyFont="1" applyFill="1" applyBorder="1" applyAlignment="1">
      <x:alignment horizontal="center" vertical="center" wrapText="1"/>
    </x:xf>
    <x:xf numFmtId="0" fontId="13" fillId="0" borderId="1" xfId="0" applyNumberFormat="1" applyFont="1" applyFill="1" applyBorder="1" applyAlignment="1">
      <x:alignment horizontal="center"/>
    </x:xf>
    <x:xf numFmtId="0" fontId="14" fillId="4" borderId="0" xfId="0" applyNumberFormat="1" applyFont="1" applyFill="1" applyBorder="1" applyAlignment="1">
      <x:alignment horizontal="right" vertical="center" wrapText="1"/>
    </x:xf>
    <x:xf numFmtId="0" fontId="14" fillId="4" borderId="1" xfId="0" applyNumberFormat="1" applyFont="1" applyFill="1" applyBorder="1" applyAlignment="1">
      <x:alignment horizontal="right" vertical="center" wrapText="1"/>
    </x:xf>
    <x:xf numFmtId="0" fontId="6" fillId="0" borderId="0" xfId="0" applyNumberFormat="1" applyFont="1" applyFill="1" applyBorder="1" applyAlignment="1">
      <x:alignment horizontal="right" vertical="center" wrapText="1"/>
    </x:xf>
    <x:xf numFmtId="0" fontId="6" fillId="0" borderId="1" xfId="0" applyNumberFormat="1" applyFont="1" applyFill="1" applyBorder="1" applyAlignment="1">
      <x:alignment horizontal="right" vertical="center" wrapText="1"/>
    </x:xf>
    <x:xf numFmtId="0" fontId="15" fillId="2" borderId="0" xfId="0" applyNumberFormat="1" applyFont="1" applyFill="1" applyBorder="1" applyAlignment="1">
      <x:alignment horizontal="right" vertical="center" wrapText="1"/>
    </x:xf>
    <x:xf numFmtId="0" fontId="15" fillId="2" borderId="1" xfId="0" applyNumberFormat="1" applyFont="1" applyFill="1" applyBorder="1" applyAlignment="1">
      <x:alignment horizontal="right" vertical="center" wrapText="1"/>
    </x:xf>
    <x:xf numFmtId="0" fontId="0" fillId="5" borderId="0" xfId="0" applyNumberFormat="1" applyFont="1" applyFill="1" applyBorder="1"/>
    <x:xf numFmtId="0" fontId="6" fillId="5" borderId="0" xfId="0" applyNumberFormat="1" applyFont="1" applyFill="1" applyBorder="1"/>
  </x:cellXfs>
  <x:cellStyles count="1">
    <x:cellStyle name="Normal" xfId="0"/>
  </x:cellStyles>
  <x:dxfs count="6">
    <x:dxf>
      <x:fill>
        <x:patternFill patternType="solid">
          <x:bgColor rgb="FFFDE2E2"/>
        </x:patternFill>
      </x:fill>
    </x:dxf>
    <x:dxf>
      <x:fill>
        <x:patternFill patternType="solid">
          <x:bgColor rgb="FFFFF0CC"/>
        </x:patternFill>
      </x:fill>
    </x:dxf>
    <x:dxf>
      <x:fill>
        <x:patternFill patternType="solid">
          <x:bgColor rgb="FFE7F3F0"/>
        </x:patternFill>
      </x:fill>
    </x:dxf>
    <x:dxf>
      <x:fill>
        <x:patternFill patternType="solid">
          <x:bgColor rgb="FFD7F0E7"/>
        </x:patternFill>
      </x:fill>
    </x:dxf>
    <x:dxf>
      <x:font>
        <x:b/>
      </x:font>
      <x:fill>
        <x:patternFill patternType="solid">
          <x:bgColor rgb="FFFDE2E2"/>
        </x:patternFill>
      </x:fill>
    </x:dxf>
    <x:dxf>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7d322aa4c0a4f12" /><Relationship Type="http://schemas.openxmlformats.org/officeDocument/2006/relationships/theme" Target="/xl/theme/theme1.xml" Id="Rbdf121fb39f14b6c" /><Relationship Type="http://schemas.openxmlformats.org/officeDocument/2006/relationships/sharedStrings" Target="/xl/sharedStrings.xml" Id="Rdf5bd9309a1f47e7" /><Relationship Type="http://schemas.openxmlformats.org/officeDocument/2006/relationships/worksheet" Target="/xl/worksheets/sheet1.xml" Id="R18faf5bf2cb34106" /><Relationship Type="http://schemas.openxmlformats.org/officeDocument/2006/relationships/worksheet" Target="/xl/worksheets/sheet2.xml" Id="R48ce5213090e421a" /><Relationship Type="http://schemas.openxmlformats.org/officeDocument/2006/relationships/worksheet" Target="/xl/worksheets/sheet3.xml" Id="Re18172d322ce4c20" /><Relationship Type="http://schemas.openxmlformats.org/officeDocument/2006/relationships/worksheet" Target="/xl/worksheets/sheet4.xml" Id="Rea9eab9f38ef4ba7" /><Relationship Type="http://schemas.openxmlformats.org/officeDocument/2006/relationships/worksheet" Target="/xl/worksheets/sheet5.xml" Id="R1d231bbe9067414a" /><Relationship Type="http://schemas.openxmlformats.org/officeDocument/2006/relationships/worksheet" Target="/xl/worksheets/sheet6.xml" Id="R810297de1bec45a5" /><Relationship Type="http://schemas.openxmlformats.org/officeDocument/2006/relationships/worksheet" Target="/xl/worksheets/sheet7.xml" Id="R3d05c1ca198a4789" /><Relationship Type="http://schemas.openxmlformats.org/officeDocument/2006/relationships/worksheet" Target="/xl/worksheets/sheet8.xml" Id="Rca3267a0bae54368" /><Relationship Type="http://schemas.openxmlformats.org/officeDocument/2006/relationships/worksheet" Target="/xl/worksheets/sheet9.xml" Id="Re977cfbf7bd2496b" /><Relationship Type="http://schemas.openxmlformats.org/officeDocument/2006/relationships/worksheet" Target="/xl/worksheets/sheet10.xml" Id="Rab0b99e1bcf347df" /><Relationship Type="http://schemas.openxmlformats.org/officeDocument/2006/relationships/worksheet" Target="/xl/worksheets/sheet11.xml" Id="Rea04881721b346ea" /></Relationships>
</file>

<file path=xl/tables/table1.xml><?xml version="1.0" encoding="utf-8"?>
<x:table xmlns:x="http://schemas.openxmlformats.org/spreadsheetml/2006/main" id="1" name="RequirementsTable" displayName="RequirementsTable" ref="A4:N224" headerRowCount="1" totalsRowCount="0" totalsRowShown="0">
  <x:tableColumns count="14">
    <x:tableColumn id="1" name="الرمز"/>
    <x:tableColumn id="2" name="المجال الوظيفي"/>
    <x:tableColumn id="3" name="المتطلب"/>
    <x:tableColumn id="4" name="الوصف التفصيلي"/>
    <x:tableColumn id="5" name="المالك المقترح"/>
    <x:tableColumn id="6" name="الأولوية"/>
    <x:tableColumn id="7" name="المرحلة"/>
    <x:tableColumn id="8" name="الحالة"/>
    <x:tableColumn id="9" name="معيار القبول"/>
    <x:tableColumn id="10" name="الاعتماديات"/>
    <x:tableColumn id="11" name="حساسية البيانات"/>
    <x:tableColumn id="12" name="الدليل الحالي وحدوده"/>
    <x:tableColumn id="13" name="المرجع"/>
    <x:tableColumn id="14" name="رابط المرجع"/>
  </x:tableColumns>
  <x:tableStyleInfo name="TableStyleMedium2" showFirstColumn="0" showLastColumn="0" showRowStripes="1" showColumnStripes="0"/>
</x:table>
</file>

<file path=xl/tables/table2.xml><?xml version="1.0" encoding="utf-8"?>
<x:table xmlns:x="http://schemas.openxmlformats.org/spreadsheetml/2006/main" id="2" name="ProjectsInventory" displayName="ProjectsInventory" ref="A4:I27" headerRowCount="1" totalsRowCount="0" totalsRowShown="0">
  <x:tableColumns count="9">
    <x:tableColumn id="1" name="الرمز"/>
    <x:tableColumn id="2" name="اسم المشروع"/>
    <x:tableColumn id="3" name="الغرض بحسب الوصف"/>
    <x:tableColumn id="4" name="المساحة"/>
    <x:tableColumn id="5" name="منشور"/>
    <x:tableColumn id="6" name="قرار إعادة الاستخدام"/>
    <x:tableColumn id="7" name="مستوى الفحص"/>
    <x:tableColumn id="8" name="معرف المشروع"/>
    <x:tableColumn id="9" name="رابط العرض"/>
  </x:tableColumns>
  <x:tableStyleInfo name="TableStyleMedium2" showFirstColumn="0" showLastColumn="0" showRowStripes="1" showColumnStripes="0"/>
</x:table>
</file>

<file path=xl/tables/table3.xml><?xml version="1.0" encoding="utf-8"?>
<x:table xmlns:x="http://schemas.openxmlformats.org/spreadsheetml/2006/main" id="3" name="ReviewFindings" displayName="ReviewFindings" ref="A4:I20" headerRowCount="1" totalsRowCount="0" totalsRowShown="0">
  <x:tableColumns count="9">
    <x:tableColumn id="1" name="الرمز"/>
    <x:tableColumn id="2" name="الأولوية"/>
    <x:tableColumn id="3" name="الملاحظة"/>
    <x:tableColumn id="4" name="الدليل"/>
    <x:tableColumn id="5" name="المعالجة المقترحة"/>
    <x:tableColumn id="6" name="المالك"/>
    <x:tableColumn id="7" name="معيار الإغلاق"/>
    <x:tableColumn id="8" name="درجة الثقة"/>
    <x:tableColumn id="9" name="مصدر الدليل"/>
  </x:tableColumns>
  <x:tableStyleInfo name="TableStyleMedium2" showFirstColumn="0" showLastColumn="0" showRowStripes="1" showColumnStripes="0"/>
</x:table>
</file>

<file path=xl/tables/table4.xml><?xml version="1.0" encoding="utf-8"?>
<x:table xmlns:x="http://schemas.openxmlformats.org/spreadsheetml/2006/main" id="4" name="MasterData" displayName="MasterData" ref="A4:F22" headerRowCount="1" totalsRowCount="0" totalsRowShown="0">
  <x:tableColumns count="6">
    <x:tableColumn id="1" name="الكيان"/>
    <x:tableColumn id="2" name="المعرف الثابت"/>
    <x:tableColumn id="3" name="حقول أساسية"/>
    <x:tableColumn id="4" name="مالك البيانات"/>
    <x:tableColumn id="5" name="المصدر المعتمد المقترح"/>
    <x:tableColumn id="6" name="ضابط تصميم"/>
  </x:tableColumns>
  <x:tableStyleInfo name="TableStyleMedium2" showFirstColumn="0" showLastColumn="0" showRowStripes="1" showColumnStripes="0"/>
</x:table>
</file>

<file path=xl/tables/table5.xml><?xml version="1.0" encoding="utf-8"?>
<x:table xmlns:x="http://schemas.openxmlformats.org/spreadsheetml/2006/main" id="5" name="Workflows" displayName="Workflows" ref="A4:F14" headerRowCount="1" totalsRowCount="0" totalsRowShown="0">
  <x:tableColumns count="6">
    <x:tableColumn id="1" name="الرمز"/>
    <x:tableColumn id="2" name="المسار"/>
    <x:tableColumn id="3" name="الخطوات"/>
    <x:tableColumn id="4" name="الأطراف المسؤولة"/>
    <x:tableColumn id="5" name="نقطة الضبط"/>
    <x:tableColumn id="6" name="الاستثناءات"/>
  </x:tableColumns>
  <x:tableStyleInfo name="TableStyleMedium2" showFirstColumn="0" showLastColumn="0" showRowStripes="1" showColumnStripes="0"/>
</x:table>
</file>

<file path=xl/tables/table6.xml><?xml version="1.0" encoding="utf-8"?>
<x:table xmlns:x="http://schemas.openxmlformats.org/spreadsheetml/2006/main" id="6" name="IntegrationPlan" displayName="IntegrationPlan" ref="A4:H15" headerRowCount="1" totalsRowCount="0" totalsRowShown="0">
  <x:tableColumns count="8">
    <x:tableColumn id="1" name="الرمز"/>
    <x:tableColumn id="2" name="النظام / الخدمة"/>
    <x:tableColumn id="3" name="البيانات"/>
    <x:tableColumn id="4" name="الاتجاه"/>
    <x:tableColumn id="5" name="المالك"/>
    <x:tableColumn id="6" name="آلية الربط المقترحة"/>
    <x:tableColumn id="7" name="معيار القبول"/>
    <x:tableColumn id="8" name="القيد / ما لم يُتحقق"/>
  </x:tableColumns>
  <x:tableStyleInfo name="TableStyleMedium2" showFirstColumn="0" showLastColumn="0" showRowStripes="1" showColumnStripes="0"/>
</x:table>
</file>

<file path=xl/tables/table7.xml><?xml version="1.0" encoding="utf-8"?>
<x:table xmlns:x="http://schemas.openxmlformats.org/spreadsheetml/2006/main" id="7" name="RoleMatrix" displayName="RoleMatrix" ref="A4:H16" headerRowCount="1" totalsRowCount="0" totalsRowShown="0">
  <x:tableColumns count="8">
    <x:tableColumn id="1" name="الدور"/>
    <x:tableColumn id="2" name="بيانات الموظفين"/>
    <x:tableColumn id="3" name="العمل والمشاريع"/>
    <x:tableColumn id="4" name="المالية"/>
    <x:tableColumn id="5" name="الرواتب"/>
    <x:tableColumn id="6" name="الشكاوى"/>
    <x:tableColumn id="7" name="إدارة المنصة"/>
    <x:tableColumn id="8" name="الضابط"/>
  </x:tableColumns>
  <x:tableStyleInfo name="TableStyleMedium2" showFirstColumn="0" showLastColumn="0" showRowStripes="1" showColumnStripes="0"/>
</x:table>
</file>

<file path=xl/tables/table8.xml><?xml version="1.0" encoding="utf-8"?>
<x:table xmlns:x="http://schemas.openxmlformats.org/spreadsheetml/2006/main" id="8" name="Roadmap" displayName="Roadmap" ref="A4:H9" headerRowCount="1" totalsRowCount="0" totalsRowShown="0">
  <x:tableColumns count="8">
    <x:tableColumn id="1" name="المرحلة"/>
    <x:tableColumn id="2" name="الاسم"/>
    <x:tableColumn id="3" name="تقدير المدة"/>
    <x:tableColumn id="4" name="النطاق"/>
    <x:tableColumn id="5" name="الفريق / المالك"/>
    <x:tableColumn id="6" name="بوابة القبول"/>
    <x:tableColumn id="7" name="الأولوية"/>
    <x:tableColumn id="8" name="القيد"/>
  </x:tableColumns>
  <x:tableStyleInfo name="TableStyleMedium2" showFirstColumn="0" showLastColumn="0" showRowStripes="1" showColumnStripes="0"/>
</x:table>
</file>

<file path=xl/tables/table9.xml><?xml version="1.0" encoding="utf-8"?>
<x:table xmlns:x="http://schemas.openxmlformats.org/spreadsheetml/2006/main" id="9" name="DecisionLog" displayName="DecisionLog" ref="A4:E19" headerRowCount="1" totalsRowCount="0" totalsRowShown="0">
  <x:tableColumns count="5">
    <x:tableColumn id="1" name="الرمز"/>
    <x:tableColumn id="2" name="القرار"/>
    <x:tableColumn id="3" name="المطلوب تحديده"/>
    <x:tableColumn id="4" name="صاحب القرار"/>
    <x:tableColumn id="5" name="سبب الحاجة"/>
  </x:tableColumns>
  <x:tableStyleInfo name="TableStyleMedium2" showFirstColumn="0" showLastColumn="0" showRowStripes="1" showColumnStripes="0"/>
</x:table>
</file>

<file path=xl/tables/table10.xml><?xml version="1.0" encoding="utf-8"?>
<x:table xmlns:x="http://schemas.openxmlformats.org/spreadsheetml/2006/main" id="10" name="EvidenceSources" displayName="EvidenceSources" ref="A4:E20" headerRowCount="1" totalsRowCount="0" totalsRowShown="0">
  <x:tableColumns count="5">
    <x:tableColumn id="1" name="المرجع"/>
    <x:tableColumn id="2" name="الفئة"/>
    <x:tableColumn id="3" name="الوثيقة / الدليل"/>
    <x:tableColumn id="4" name="الرابط"/>
    <x:tableColumn id="5" name="نطاق الاستدلال"/>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10b11182e34854" /></Relationships>
</file>

<file path=xl/worksheets/_rels/sheet3.xml.rels>&#65279;<?xml version="1.0" encoding="utf-8"?><Relationships xmlns="http://schemas.openxmlformats.org/package/2006/relationships"><Relationship Type="http://schemas.openxmlformats.org/officeDocument/2006/relationships/table" Target="/xl/tables/table2.xml" Id="R666e91d5a2754c3b" /></Relationships>
</file>

<file path=xl/worksheets/_rels/sheet4.xml.rels>&#65279;<?xml version="1.0" encoding="utf-8"?><Relationships xmlns="http://schemas.openxmlformats.org/package/2006/relationships"><Relationship Type="http://schemas.openxmlformats.org/officeDocument/2006/relationships/table" Target="/xl/tables/table3.xml" Id="R360385f7f898406e" /></Relationships>
</file>

<file path=xl/worksheets/_rels/sheet5.xml.rels>&#65279;<?xml version="1.0" encoding="utf-8"?><Relationships xmlns="http://schemas.openxmlformats.org/package/2006/relationships"><Relationship Type="http://schemas.openxmlformats.org/officeDocument/2006/relationships/table" Target="/xl/tables/table4.xml" Id="R7150791fb40a4e7a" /></Relationships>
</file>

<file path=xl/worksheets/_rels/sheet6.xml.rels>&#65279;<?xml version="1.0" encoding="utf-8"?><Relationships xmlns="http://schemas.openxmlformats.org/package/2006/relationships"><Relationship Type="http://schemas.openxmlformats.org/officeDocument/2006/relationships/table" Target="/xl/tables/table5.xml" Id="Rc993a2d27b054dc0" /></Relationships>
</file>

<file path=xl/worksheets/_rels/sheet7.xml.rels>&#65279;<?xml version="1.0" encoding="utf-8"?><Relationships xmlns="http://schemas.openxmlformats.org/package/2006/relationships"><Relationship Type="http://schemas.openxmlformats.org/officeDocument/2006/relationships/table" Target="/xl/tables/table6.xml" Id="R7ebecc44b3ef470e" /></Relationships>
</file>

<file path=xl/worksheets/_rels/sheet8.xml.rels>&#65279;<?xml version="1.0" encoding="utf-8"?><Relationships xmlns="http://schemas.openxmlformats.org/package/2006/relationships"><Relationship Type="http://schemas.openxmlformats.org/officeDocument/2006/relationships/table" Target="/xl/tables/table7.xml" Id="Rd60daf2af52e4e5b" /></Relationships>
</file>

<file path=xl/worksheets/_rels/sheet9.xml.rels>&#65279;<?xml version="1.0" encoding="utf-8"?><Relationships xmlns="http://schemas.openxmlformats.org/package/2006/relationships"><Relationship Type="http://schemas.openxmlformats.org/officeDocument/2006/relationships/table" Target="/xl/tables/table8.xml" Id="R7cfcdf60984b44c7" /></Relationships>
</file>

<file path=xl/worksheets/_rels/sheet10.xml.rels>&#65279;<?xml version="1.0" encoding="utf-8"?><Relationships xmlns="http://schemas.openxmlformats.org/package/2006/relationships"><Relationship Type="http://schemas.openxmlformats.org/officeDocument/2006/relationships/table" Target="/xl/tables/table9.xml" Id="R4dd13e3ad68c4edd" /></Relationships>
</file>

<file path=xl/worksheets/_rels/sheet11.xml.rels>&#65279;<?xml version="1.0" encoding="utf-8"?><Relationships xmlns="http://schemas.openxmlformats.org/package/2006/relationships"><Relationship Type="http://schemas.openxmlformats.org/officeDocument/2006/relationships/table" Target="/xl/tables/table10.xml" Id="Rc6a5f46a37d24d96" /></Relationships>
</file>

<file path=xl/worksheets/sheet1.xml><?xml version="1.0" encoding="utf-8"?>
<x:worksheet xmlns:x="http://schemas.openxmlformats.org/spreadsheetml/2006/main">
  <x:sheetFormatPr defaultRowHeight="15"/>
  <x:cols>
    <x:col min="1" max="1" width="28"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s>
  <x:sheetData>
    <x:row r="1" ht="25" customHeight="1">
      <x:c r="A1" s="29" t="str">
        <x:v>3,6T | متطلبات النظام الداخلي المتكامل</x:v>
      </x:c>
      <x:c r="B1" s="29"/>
      <x:c r="C1" s="29"/>
      <x:c r="D1" s="29"/>
      <x:c r="E1" s="29"/>
      <x:c r="F1" s="29"/>
      <x:c r="G1" s="29"/>
      <x:c r="H1" s="29"/>
    </x:row>
    <x:row r="2" ht="25" customHeight="1">
      <x:c r="A2" s="29"/>
      <x:c r="B2" s="29"/>
      <x:c r="C2" s="29"/>
      <x:c r="D2" s="29"/>
      <x:c r="E2" s="29"/>
      <x:c r="F2" s="29"/>
      <x:c r="G2" s="29"/>
      <x:c r="H2" s="29"/>
    </x:row>
    <x:row r="3" ht="25" customHeight="1">
      <x:c r="A3" s="33" t="str">
        <x:v>مسودة تخطيط وقرار • 9 سبتمبر 2026 • لم تُعدل الأنظمة أو بيانات الإنتاج</x:v>
      </x:c>
      <x:c r="B3" s="33"/>
      <x:c r="C3" s="33"/>
      <x:c r="D3" s="33"/>
      <x:c r="E3" s="33"/>
      <x:c r="F3" s="33"/>
      <x:c r="G3" s="33"/>
      <x:c r="H3" s="33"/>
    </x:row>
    <x:row r="4" ht="25" customHeight="1">
      <x:c r="A4" s="23"/>
      <x:c r="B4" s="23"/>
      <x:c r="C4" s="23"/>
      <x:c r="D4" s="23"/>
      <x:c r="E4" s="23"/>
      <x:c r="F4" s="23"/>
      <x:c r="G4" s="23"/>
      <x:c r="H4" s="23"/>
    </x:row>
    <x:row r="5" ht="25" customHeight="1">
      <x:c r="A5" s="36" t="str">
        <x:v>متطلبات مقترحة</x:v>
      </x:c>
      <x:c r="B5" s="36"/>
      <x:c r="C5" s="36" t="str">
        <x:v>مجالات وظيفية</x:v>
      </x:c>
      <x:c r="D5" s="36"/>
      <x:c r="E5" s="36" t="str">
        <x:v>مشاريع Lovable</x:v>
      </x:c>
      <x:c r="F5" s="36"/>
      <x:c r="G5" s="36" t="str">
        <x:v>ملاحظات المراجعة</x:v>
      </x:c>
      <x:c r="H5" s="36"/>
    </x:row>
    <x:row r="6" ht="25" customHeight="1">
      <x:c r="A6" s="40" t="n">
        <x:f>COUNTA('المتطلبات'!A5:A224)</x:f>
        <x:v>220</x:v>
      </x:c>
      <x:c r="B6" s="40"/>
      <x:c r="C6" s="40" t="n">
        <x:f>COUNTA(A24:A45)</x:f>
        <x:v>22</x:v>
      </x:c>
      <x:c r="D6" s="40"/>
      <x:c r="E6" s="40" t="n">
        <x:f>COUNTA('المشاريع الحالية'!A5:A27)</x:f>
        <x:v>23</x:v>
      </x:c>
      <x:c r="F6" s="40"/>
      <x:c r="G6" s="40" t="n">
        <x:f>COUNTA('نتائج المراجعة'!A5:A20)</x:f>
        <x:v>16</x:v>
      </x:c>
      <x:c r="H6" s="40"/>
    </x:row>
    <x:row r="7" ht="25" customHeight="1">
      <x:c r="A7" s="40"/>
      <x:c r="B7" s="40"/>
      <x:c r="C7" s="40"/>
      <x:c r="D7" s="40"/>
      <x:c r="E7" s="40"/>
      <x:c r="F7" s="40"/>
      <x:c r="G7" s="40"/>
      <x:c r="H7" s="40"/>
    </x:row>
    <x:row r="8" ht="25" customHeight="1">
      <x:c r="A8" s="23"/>
      <x:c r="B8" s="23"/>
      <x:c r="C8" s="23"/>
      <x:c r="D8" s="23"/>
      <x:c r="E8" s="23"/>
      <x:c r="F8" s="23"/>
      <x:c r="G8" s="23"/>
      <x:c r="H8" s="23"/>
    </x:row>
    <x:row r="9" ht="25" customHeight="1">
      <x:c r="A9" s="44" t="str">
        <x:v>الخلاصة التنفيذية</x:v>
      </x:c>
      <x:c r="B9" s="44"/>
      <x:c r="C9" s="44"/>
      <x:c r="D9" s="44"/>
      <x:c r="E9" s="44"/>
      <x:c r="F9" s="44"/>
      <x:c r="G9" s="44"/>
      <x:c r="H9" s="44"/>
    </x:row>
    <x:row r="10" ht="25" customHeight="1">
      <x:c r="A10" s="46" t="str">
        <x:v>التوصية: منصة تشغيل موحدة للشركة، لا مجرد بوابة موارد بشرية. بوابة 360 مرشح للنواة بعد تأهيلها؛ تُعاد الاستفادة من مشاريع تجربة الموظف والتقارير دون توحيد عشوائي لقواعد البيانات.</x:v>
      </x:c>
      <x:c r="B10" s="46"/>
      <x:c r="C10" s="46"/>
      <x:c r="D10" s="46"/>
      <x:c r="E10" s="46"/>
      <x:c r="F10" s="46"/>
      <x:c r="G10" s="46"/>
      <x:c r="H10" s="46"/>
    </x:row>
    <x:row r="11" ht="25" customHeight="1">
      <x:c r="A11" s="46"/>
      <x:c r="B11" s="46"/>
      <x:c r="C11" s="46"/>
      <x:c r="D11" s="46"/>
      <x:c r="E11" s="46"/>
      <x:c r="F11" s="46"/>
      <x:c r="G11" s="46"/>
      <x:c r="H11" s="46"/>
    </x:row>
    <x:row r="12" ht="25" customHeight="1">
      <x:c r="A12" s="46"/>
      <x:c r="B12" s="46"/>
      <x:c r="C12" s="46"/>
      <x:c r="D12" s="46"/>
      <x:c r="E12" s="46"/>
      <x:c r="F12" s="46"/>
      <x:c r="G12" s="46"/>
      <x:c r="H12" s="46"/>
    </x:row>
    <x:row r="13" ht="25" customHeight="1">
      <x:c r="A13" s="23"/>
      <x:c r="B13" s="23"/>
      <x:c r="C13" s="23"/>
      <x:c r="D13" s="23"/>
      <x:c r="E13" s="23"/>
      <x:c r="F13" s="23"/>
      <x:c r="G13" s="23"/>
      <x:c r="H13" s="23"/>
    </x:row>
    <x:row r="14" ht="25" customHeight="1">
      <x:c r="A14" s="44" t="str">
        <x:v>حدود المراجعة</x:v>
      </x:c>
      <x:c r="B14" s="44"/>
      <x:c r="C14" s="44"/>
      <x:c r="D14" s="44"/>
      <x:c r="E14" s="44"/>
      <x:c r="F14" s="44"/>
      <x:c r="G14" s="44"/>
      <x:c r="H14" s="44"/>
    </x:row>
    <x:row r="15" ht="25" customHeight="1">
      <x:c r="A15" s="48" t="str">
        <x:v>تمت قراءة البروفايل وحصر المشاريع وفحص عينات الكود وسياسات البيانات. وجود 71 جدولًا مع تفعيل RLS لا يثبت اكتمال الأمان أو التشغيل. لم تُختبر رحلة مستخدم نهائي أو موافقة الهيئة أو البنك أو استعادة الإنتاج.</x:v>
      </x:c>
      <x:c r="B15" s="48"/>
      <x:c r="C15" s="48"/>
      <x:c r="D15" s="48"/>
      <x:c r="E15" s="48"/>
      <x:c r="F15" s="48"/>
      <x:c r="G15" s="48"/>
      <x:c r="H15" s="48"/>
    </x:row>
    <x:row r="16" ht="25" customHeight="1">
      <x:c r="A16" s="48"/>
      <x:c r="B16" s="48"/>
      <x:c r="C16" s="48"/>
      <x:c r="D16" s="48"/>
      <x:c r="E16" s="48"/>
      <x:c r="F16" s="48"/>
      <x:c r="G16" s="48"/>
      <x:c r="H16" s="48"/>
    </x:row>
    <x:row r="17" ht="25" customHeight="1">
      <x:c r="A17" s="48"/>
      <x:c r="B17" s="48"/>
      <x:c r="C17" s="48"/>
      <x:c r="D17" s="48"/>
      <x:c r="E17" s="48"/>
      <x:c r="F17" s="48"/>
      <x:c r="G17" s="48"/>
      <x:c r="H17" s="48"/>
    </x:row>
    <x:row r="18" ht="25" customHeight="1">
      <x:c r="A18" s="23"/>
      <x:c r="B18" s="23"/>
      <x:c r="C18" s="23"/>
      <x:c r="D18" s="23"/>
      <x:c r="E18" s="23"/>
      <x:c r="F18" s="23"/>
      <x:c r="G18" s="23"/>
      <x:c r="H18" s="23"/>
    </x:row>
    <x:row r="19" ht="25" customHeight="1">
      <x:c r="A19" s="44" t="str">
        <x:v>كيفية استخدام المصنف</x:v>
      </x:c>
      <x:c r="B19" s="44"/>
      <x:c r="C19" s="44"/>
      <x:c r="D19" s="44"/>
      <x:c r="E19" s="44"/>
      <x:c r="F19" s="44"/>
      <x:c r="G19" s="44"/>
      <x:c r="H19" s="44"/>
    </x:row>
    <x:row r="20" ht="25" customHeight="1">
      <x:c r="A20" s="48" t="str">
        <x:v>ابدأ بنتائج المراجعة والقرارات المطلوبة، ثم اعتمد أولويات المتطلبات ومالك كل بند. لا تغيّر الحالة إلى «مقبول» دون دليل اختبار. بيانات المشاريع والملاحظات تمثل لقطة المراجعة وليست مراقبة مستمرة.</x:v>
      </x:c>
      <x:c r="B20" s="48"/>
      <x:c r="C20" s="48"/>
      <x:c r="D20" s="48"/>
      <x:c r="E20" s="48"/>
      <x:c r="F20" s="48"/>
      <x:c r="G20" s="48"/>
      <x:c r="H20" s="48"/>
    </x:row>
    <x:row r="21" ht="25" customHeight="1">
      <x:c r="A21" s="48"/>
      <x:c r="B21" s="48"/>
      <x:c r="C21" s="48"/>
      <x:c r="D21" s="48"/>
      <x:c r="E21" s="48"/>
      <x:c r="F21" s="48"/>
      <x:c r="G21" s="48"/>
      <x:c r="H21" s="48"/>
    </x:row>
    <x:row r="22" ht="25" customHeight="1">
      <x:c r="A22" s="48"/>
      <x:c r="B22" s="48"/>
      <x:c r="C22" s="48"/>
      <x:c r="D22" s="48"/>
      <x:c r="E22" s="48"/>
      <x:c r="F22" s="48"/>
      <x:c r="G22" s="48"/>
      <x:c r="H22" s="48"/>
    </x:row>
    <x:row r="23" ht="30" customHeight="1">
      <x:c r="A23" s="51" t="str">
        <x:v>المجال الوظيفي</x:v>
      </x:c>
      <x:c r="B23" s="51" t="str">
        <x:v>عدد البنود</x:v>
      </x:c>
      <x:c r="C23" s="51" t="str">
        <x:v>أولوية</x:v>
      </x:c>
      <x:c r="D23" s="51" t="str">
        <x:v>عدد البنود</x:v>
      </x:c>
      <x:c r="E23" s="62" t="str">
        <x:v>حالة النشر ليست شهادة تشغيل</x:v>
      </x:c>
      <x:c r="F23" s="62"/>
      <x:c r="G23" s="62"/>
      <x:c r="H23" s="62"/>
    </x:row>
    <x:row r="24" ht="33" customHeight="1">
      <x:c r="A24" s="23" t="str">
        <x:v>القيادة والحوكمة</x:v>
      </x:c>
      <x:c r="B24" s="56" t="n">
        <x:f>COUNTIF('المتطلبات'!$B$5:$B$224,A24)</x:f>
        <x:v>10</x:v>
      </x:c>
      <x:c r="C24" s="23" t="str">
        <x:v>P0</x:v>
      </x:c>
      <x:c r="D24" s="23" t="n">
        <x:f>COUNTIF('المتطلبات'!$F$5:$F$224,C24)</x:f>
        <x:v>0</x:v>
      </x:c>
      <x:c r="E24" s="64" t="str">
        <x:v>مشاريع منشورة</x:v>
      </x:c>
      <x:c r="F24" s="64"/>
      <x:c r="G24" s="64"/>
      <x:c r="H24" s="23" t="n">
        <x:f>COUNTIF('المشاريع الحالية'!E5:E27,"نعم")</x:f>
        <x:v>18</x:v>
      </x:c>
    </x:row>
    <x:row r="25" ht="33" customHeight="1">
      <x:c r="A25" s="23" t="str">
        <x:v>النمو والمبيعات والمنافسات</x:v>
      </x:c>
      <x:c r="B25" s="56" t="n">
        <x:f>COUNTIF('المتطلبات'!$B$5:$B$224,A25)</x:f>
        <x:v>10</x:v>
      </x:c>
      <x:c r="C25" s="23" t="str">
        <x:v>P1</x:v>
      </x:c>
      <x:c r="D25" s="23" t="n">
        <x:f>COUNTIF('المتطلبات'!$F$5:$F$224,C25)</x:f>
        <x:v>130</x:v>
      </x:c>
      <x:c r="E25" s="64" t="str">
        <x:v>مشاريع غير منشورة</x:v>
      </x:c>
      <x:c r="F25" s="64"/>
      <x:c r="G25" s="64"/>
      <x:c r="H25" s="23" t="n">
        <x:f>COUNTIF('المشاريع الحالية'!E5:E27,"لا")</x:f>
        <x:v>5</x:v>
      </x:c>
    </x:row>
    <x:row r="26" ht="33" customHeight="1">
      <x:c r="A26" s="23" t="str">
        <x:v>إدارة الحسابات وتجربة العميل</x:v>
      </x:c>
      <x:c r="B26" s="56" t="n">
        <x:f>COUNTIF('المتطلبات'!$B$5:$B$224,A26)</x:f>
        <x:v>10</x:v>
      </x:c>
      <x:c r="C26" s="23" t="str">
        <x:v>P2</x:v>
      </x:c>
      <x:c r="D26" s="23" t="n">
        <x:f>COUNTIF('المتطلبات'!$F$5:$F$224,C26)</x:f>
        <x:v>90</x:v>
      </x:c>
      <x:c r="E26" s="23"/>
      <x:c r="F26" s="23"/>
      <x:c r="G26" s="23"/>
      <x:c r="H26" s="23"/>
    </x:row>
    <x:row r="27" ht="33" customHeight="1">
      <x:c r="A27" s="23" t="str">
        <x:v>المشاريع والموارد</x:v>
      </x:c>
      <x:c r="B27" s="56" t="n">
        <x:f>COUNTIF('المتطلبات'!$B$5:$B$224,A27)</x:f>
        <x:v>10</x:v>
      </x:c>
      <x:c r="C27" s="23"/>
      <x:c r="D27" s="23"/>
      <x:c r="E27" s="66" t="str">
        <x:v>أولويات المعالجة العاجلة</x:v>
      </x:c>
      <x:c r="F27" s="66"/>
      <x:c r="G27" s="66"/>
      <x:c r="H27" s="66"/>
    </x:row>
    <x:row r="28" ht="33" customHeight="1">
      <x:c r="A28" s="23" t="str">
        <x:v>الإستراتيجية والبحث</x:v>
      </x:c>
      <x:c r="B28" s="56" t="n">
        <x:f>COUNTIF('المتطلبات'!$B$5:$B$224,A28)</x:f>
        <x:v>10</x:v>
      </x:c>
      <x:c r="C28" s="23" t="str">
        <x:v>ملاحظات P0</x:v>
      </x:c>
      <x:c r="D28" s="23" t="n">
        <x:f>COUNTIF('نتائج المراجعة'!B5:B20,"P0")</x:f>
        <x:v>2</x:v>
      </x:c>
      <x:c r="E28" s="33" t="str">
        <x:v>تدوير السر المكتشف وإلغاء الجلسات؛ تعطيل نتائج الفوترة المحاكية؛ منع تصدير غير المعتمد؛ تضييق صلاحيات المشاريع والمعاملات الحساسة.</x:v>
      </x:c>
      <x:c r="F28" s="33"/>
      <x:c r="G28" s="33"/>
      <x:c r="H28" s="33"/>
    </x:row>
    <x:row r="29" ht="33" customHeight="1">
      <x:c r="A29" s="23" t="str">
        <x:v>الخدمات الإبداعية والمحتوى</x:v>
      </x:c>
      <x:c r="B29" s="56" t="n">
        <x:f>COUNTIF('المتطلبات'!$B$5:$B$224,A29)</x:f>
        <x:v>10</x:v>
      </x:c>
      <x:c r="C29" s="23"/>
      <x:c r="D29" s="23"/>
      <x:c r="E29" s="33"/>
      <x:c r="F29" s="33"/>
      <x:c r="G29" s="33"/>
      <x:c r="H29" s="33"/>
    </x:row>
    <x:row r="30" ht="33" customHeight="1">
      <x:c r="A30" s="23" t="str">
        <x:v>التسويق الرقمي والشراء الإعلامي</x:v>
      </x:c>
      <x:c r="B30" s="56" t="n">
        <x:f>COUNTIF('المتطلبات'!$B$5:$B$224,A30)</x:f>
        <x:v>10</x:v>
      </x:c>
      <x:c r="C30" s="23"/>
      <x:c r="D30" s="23"/>
      <x:c r="E30" s="33"/>
      <x:c r="F30" s="33"/>
      <x:c r="G30" s="33"/>
      <x:c r="H30" s="33"/>
    </x:row>
    <x:row r="31" ht="33" customHeight="1">
      <x:c r="A31" s="23" t="str">
        <x:v>العلاقات العامة والإعلام</x:v>
      </x:c>
      <x:c r="B31" s="56" t="n">
        <x:f>COUNTIF('المتطلبات'!$B$5:$B$224,A31)</x:f>
        <x:v>10</x:v>
      </x:c>
      <x:c r="C31" s="23"/>
      <x:c r="D31" s="23"/>
      <x:c r="E31" s="23"/>
      <x:c r="F31" s="23"/>
      <x:c r="G31" s="23"/>
      <x:c r="H31" s="23"/>
    </x:row>
    <x:row r="32" ht="33" customHeight="1">
      <x:c r="A32" s="23" t="str">
        <x:v>التسويق عبر المؤثرين</x:v>
      </x:c>
      <x:c r="B32" s="56" t="n">
        <x:f>COUNTIF('المتطلبات'!$B$5:$B$224,A32)</x:f>
        <x:v>10</x:v>
      </x:c>
      <x:c r="C32" s="23"/>
      <x:c r="D32" s="23"/>
      <x:c r="E32" s="66" t="str">
        <x:v>مصادر الحقيقة</x:v>
      </x:c>
      <x:c r="F32" s="66"/>
      <x:c r="G32" s="66"/>
      <x:c r="H32" s="66"/>
    </x:row>
    <x:row r="33" ht="33" customHeight="1">
      <x:c r="A33" s="23" t="str">
        <x:v>الإنتاج المرئي والفعاليات</x:v>
      </x:c>
      <x:c r="B33" s="56" t="n">
        <x:f>COUNTIF('المتطلبات'!$B$5:$B$224,A33)</x:f>
        <x:v>10</x:v>
      </x:c>
      <x:c r="C33" s="23"/>
      <x:c r="D33" s="23"/>
      <x:c r="E33" s="48" t="str">
        <x:v>يُحدد النظام المعتمد لكل من الموظف والمشروع والعقد والفاتورة. لا نفترض أن ظهور اسم تكامل يعني اتصاله الفعلي. لا يُستبدل النظام المالي أو الرواتب قبل المطابقة والتشغيل المتوازي.</x:v>
      </x:c>
      <x:c r="F33" s="48"/>
      <x:c r="G33" s="48"/>
      <x:c r="H33" s="48"/>
    </x:row>
    <x:row r="34" ht="33" customHeight="1">
      <x:c r="A34" s="23" t="str">
        <x:v>رأس المال البشري — العمليات</x:v>
      </x:c>
      <x:c r="B34" s="56" t="n">
        <x:f>COUNTIF('المتطلبات'!$B$5:$B$224,A34)</x:f>
        <x:v>10</x:v>
      </x:c>
      <x:c r="C34" s="23"/>
      <x:c r="D34" s="23"/>
      <x:c r="E34" s="48"/>
      <x:c r="F34" s="48"/>
      <x:c r="G34" s="48"/>
      <x:c r="H34" s="48"/>
    </x:row>
    <x:row r="35" ht="33" customHeight="1">
      <x:c r="A35" s="23" t="str">
        <x:v>التوظيف والأداء والتطوير</x:v>
      </x:c>
      <x:c r="B35" s="56" t="n">
        <x:f>COUNTIF('المتطلبات'!$B$5:$B$224,A35)</x:f>
        <x:v>10</x:v>
      </x:c>
      <x:c r="C35" s="23"/>
      <x:c r="D35" s="23"/>
      <x:c r="E35" s="48"/>
      <x:c r="F35" s="48"/>
      <x:c r="G35" s="48"/>
      <x:c r="H35" s="48"/>
    </x:row>
    <x:row r="36" ht="33" customHeight="1">
      <x:c r="A36" s="23" t="str">
        <x:v>الرواتب والمزايا</x:v>
      </x:c>
      <x:c r="B36" s="56" t="n">
        <x:f>COUNTIF('المتطلبات'!$B$5:$B$224,A36)</x:f>
        <x:v>10</x:v>
      </x:c>
      <x:c r="C36" s="23"/>
      <x:c r="D36" s="23"/>
      <x:c r="E36" s="48"/>
      <x:c r="F36" s="48"/>
      <x:c r="G36" s="48"/>
      <x:c r="H36" s="48"/>
    </x:row>
    <x:row r="37" ht="33" customHeight="1">
      <x:c r="A37" s="23" t="str">
        <x:v>المالية والتحصيل والرقابة</x:v>
      </x:c>
      <x:c r="B37" s="56" t="n">
        <x:f>COUNTIF('المتطلبات'!$B$5:$B$224,A37)</x:f>
        <x:v>10</x:v>
      </x:c>
      <x:c r="C37" s="23"/>
      <x:c r="D37" s="23"/>
      <x:c r="E37" s="23"/>
      <x:c r="F37" s="23"/>
      <x:c r="G37" s="23"/>
      <x:c r="H37" s="23"/>
    </x:row>
    <x:row r="38" ht="33" customHeight="1">
      <x:c r="A38" s="23" t="str">
        <x:v>المشتريات والموردون</x:v>
      </x:c>
      <x:c r="B38" s="56" t="n">
        <x:f>COUNTIF('المتطلبات'!$B$5:$B$224,A38)</x:f>
        <x:v>10</x:v>
      </x:c>
      <x:c r="C38" s="23"/>
      <x:c r="D38" s="23"/>
      <x:c r="E38" s="66" t="str">
        <x:v>لا يساوي 22 مجالًا إنشاء 22 إدارة</x:v>
      </x:c>
      <x:c r="F38" s="66"/>
      <x:c r="G38" s="66"/>
      <x:c r="H38" s="66"/>
    </x:row>
    <x:row r="39" ht="33" customHeight="1">
      <x:c r="A39" t="str">
        <x:v>القانونية والخصوصية والملكية الفكرية</x:v>
      </x:c>
      <x:c r="B39" s="57" t="n">
        <x:f>COUNTIF('المتطلبات'!$B$5:$B$224,A39)</x:f>
        <x:v>10</x:v>
      </x:c>
      <x:c r="E39" s="69" t="str">
        <x:v>المجالات تقسيم لوظائف النظام. يمكن لإدارة واحدة امتلاك عدة مجالات أو الاستعانة بمزود خارجي؛ الهيكل التنظيمي الفعلي يعتمد بشكل مستقل.</x:v>
      </x:c>
      <x:c r="F39" s="69"/>
      <x:c r="G39" s="69"/>
      <x:c r="H39" s="69"/>
    </x:row>
    <x:row r="40" ht="33" customHeight="1">
      <x:c r="A40" t="str">
        <x:v>تقنية المعلومات والأمن</x:v>
      </x:c>
      <x:c r="B40" s="57" t="n">
        <x:f>COUNTIF('المتطلبات'!$B$5:$B$224,A40)</x:f>
        <x:v>10</x:v>
      </x:c>
      <x:c r="E40" s="69"/>
      <x:c r="F40" s="69"/>
      <x:c r="G40" s="69"/>
      <x:c r="H40" s="69"/>
    </x:row>
    <x:row r="41" ht="33" customHeight="1">
      <x:c r="A41" t="str">
        <x:v>الشؤون الإدارية والمرافق</x:v>
      </x:c>
      <x:c r="B41" s="57" t="n">
        <x:f>COUNTIF('المتطلبات'!$B$5:$B$224,A41)</x:f>
        <x:v>10</x:v>
      </x:c>
      <x:c r="E41" s="69"/>
      <x:c r="F41" s="69"/>
      <x:c r="G41" s="69"/>
      <x:c r="H41" s="69"/>
    </x:row>
    <x:row r="42" ht="33" customHeight="1">
      <x:c r="A42" t="str">
        <x:v>التواصل الداخلي وتجربة الموظف</x:v>
      </x:c>
      <x:c r="B42" s="57" t="n">
        <x:f>COUNTIF('المتطلبات'!$B$5:$B$224,A42)</x:f>
        <x:v>10</x:v>
      </x:c>
      <x:c r="E42" s="69"/>
      <x:c r="F42" s="69"/>
      <x:c r="G42" s="69"/>
      <x:c r="H42" s="69"/>
    </x:row>
    <x:row r="43" ht="33" customHeight="1">
      <x:c r="A43" t="str">
        <x:v>البيانات والتحليلات والذكاء الاصطناعي</x:v>
      </x:c>
      <x:c r="B43" s="57" t="n">
        <x:f>COUNTIF('المتطلبات'!$B$5:$B$224,A43)</x:f>
        <x:v>10</x:v>
      </x:c>
    </x:row>
    <x:row r="44" ht="33" customHeight="1">
      <x:c r="A44" t="str">
        <x:v>الأساس المشترك والتكامل</x:v>
      </x:c>
      <x:c r="B44" s="57" t="n">
        <x:f>COUNTIF('المتطلبات'!$B$5:$B$224,A44)</x:f>
        <x:v>10</x:v>
      </x:c>
    </x:row>
    <x:row r="45" ht="33" customHeight="1">
      <x:c r="A45" t="str">
        <x:v>الجودة والاستدامة والتشغيل</x:v>
      </x:c>
      <x:c r="B45" s="57" t="n">
        <x:f>COUNTIF('المتطلبات'!$B$5:$B$224,A45)</x:f>
        <x:v>10</x:v>
      </x:c>
    </x:row>
  </x:sheetData>
  <x:mergeCells>
    <x:mergeCell ref="A1:H2"/>
    <x:mergeCell ref="A3:H3"/>
    <x:mergeCell ref="A5:B5"/>
    <x:mergeCell ref="A6:B7"/>
    <x:mergeCell ref="C5:D5"/>
    <x:mergeCell ref="C6:D7"/>
    <x:mergeCell ref="E5:F5"/>
    <x:mergeCell ref="E6:F7"/>
    <x:mergeCell ref="G5:H5"/>
    <x:mergeCell ref="G6:H7"/>
    <x:mergeCell ref="A9:H9"/>
    <x:mergeCell ref="A10:H12"/>
    <x:mergeCell ref="A14:H14"/>
    <x:mergeCell ref="A15:H17"/>
    <x:mergeCell ref="A19:H19"/>
    <x:mergeCell ref="A20:H22"/>
    <x:mergeCell ref="E23:H23"/>
    <x:mergeCell ref="E24:G24"/>
    <x:mergeCell ref="E25:G25"/>
    <x:mergeCell ref="E27:H27"/>
    <x:mergeCell ref="E28:H30"/>
    <x:mergeCell ref="E32:H32"/>
    <x:mergeCell ref="E33:H36"/>
    <x:mergeCell ref="E38:H38"/>
    <x:mergeCell ref="E39:H4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25" hidden="0" customWidth="1"/>
    <x:col min="3" max="3" width="26" hidden="0" customWidth="1"/>
    <x:col min="4" max="4" width="40" hidden="0" customWidth="1"/>
    <x:col min="5" max="5" width="26" hidden="0" customWidth="1"/>
    <x:col min="6" max="6" width="10" hidden="0" customWidth="1"/>
    <x:col min="7" max="7" width="18" hidden="0" customWidth="1"/>
    <x:col min="8" max="8" width="22" hidden="0" customWidth="1"/>
    <x:col min="9" max="9" width="40" hidden="0" customWidth="1"/>
    <x:col min="10" max="10" width="34" hidden="0" customWidth="1"/>
    <x:col min="11" max="11" width="25" hidden="0" customWidth="1"/>
    <x:col min="12" max="12" width="39" hidden="0" customWidth="1"/>
    <x:col min="13" max="13" width="34" hidden="0" customWidth="1"/>
    <x:col min="14" max="14" width="38" hidden="0" customWidth="1"/>
  </x:cols>
  <x:sheetData>
    <x:row r="1" ht="39" customHeight="1">
      <x:c r="A1" s="11" t="str">
        <x:v>سجل المتطلبات التفصيلي | 220 متطلبًا</x:v>
      </x:c>
      <x:c r="B1" s="11"/>
      <x:c r="C1" s="11"/>
      <x:c r="D1" s="11"/>
      <x:c r="E1" s="11"/>
      <x:c r="F1" s="11"/>
      <x:c r="G1" s="11"/>
      <x:c r="H1" s="11"/>
      <x:c r="I1" s="11"/>
      <x:c r="J1" s="11"/>
      <x:c r="K1" s="11"/>
      <x:c r="L1" s="11"/>
      <x:c r="M1" s="11"/>
      <x:c r="N1" s="11"/>
    </x:row>
    <x:row r="2" ht="34" customHeight="1">
      <x:c r="A2" s="14" t="str">
        <x:v>كل البنود مقترحات للتصميم والاعتماد، وليست ادعاءً بأن الوظائف غير موجودة. P0 قبل الاستخدام الحساس؛ P1 للإطلاق؛ P2 للتوسع.</x:v>
      </x:c>
      <x:c r="B2" s="14"/>
      <x:c r="C2" s="14"/>
      <x:c r="D2" s="14"/>
      <x:c r="E2" s="14"/>
      <x:c r="F2" s="14"/>
      <x:c r="G2" s="14"/>
      <x:c r="H2" s="14"/>
      <x:c r="I2" s="14"/>
      <x:c r="J2" s="14"/>
      <x:c r="K2" s="14"/>
      <x:c r="L2" s="14"/>
      <x:c r="M2" s="14"/>
      <x:c r="N2" s="14"/>
    </x:row>
    <x:row r="3" ht="9" customHeight="1">
      <x:c r="A3" s="5"/>
      <x:c r="B3" s="5"/>
      <x:c r="C3" s="5"/>
      <x:c r="D3" s="5"/>
      <x:c r="E3" s="5"/>
      <x:c r="F3" s="5"/>
      <x:c r="G3" s="5"/>
      <x:c r="H3" s="5"/>
      <x:c r="I3" s="5"/>
      <x:c r="J3" s="5"/>
      <x:c r="K3" s="5"/>
      <x:c r="L3" s="5"/>
      <x:c r="M3" s="5"/>
      <x:c r="N3" s="5"/>
    </x:row>
    <x:row r="4" ht="32" customHeight="1">
      <x:c r="A4" s="17" t="str">
        <x:v>الرمز</x:v>
      </x:c>
      <x:c r="B4" s="17" t="str">
        <x:v>المجال الوظيفي</x:v>
      </x:c>
      <x:c r="C4" s="17" t="str">
        <x:v>المتطلب</x:v>
      </x:c>
      <x:c r="D4" s="17" t="str">
        <x:v>الوصف التفصيلي</x:v>
      </x:c>
      <x:c r="E4" s="17" t="str">
        <x:v>المالك المقترح</x:v>
      </x:c>
      <x:c r="F4" s="17" t="str">
        <x:v>الأولوية</x:v>
      </x:c>
      <x:c r="G4" s="17" t="str">
        <x:v>المرحلة</x:v>
      </x:c>
      <x:c r="H4" s="17" t="str">
        <x:v>الحالة</x:v>
      </x:c>
      <x:c r="I4" s="17" t="str">
        <x:v>معيار القبول</x:v>
      </x:c>
      <x:c r="J4" s="17" t="str">
        <x:v>الاعتماديات</x:v>
      </x:c>
      <x:c r="K4" s="17" t="str">
        <x:v>حساسية البيانات</x:v>
      </x:c>
      <x:c r="L4" s="17" t="str">
        <x:v>الدليل الحالي وحدوده</x:v>
      </x:c>
      <x:c r="M4" s="17" t="str">
        <x:v>المرجع</x:v>
      </x:c>
      <x:c r="N4" s="17" t="str">
        <x:v>رابط المرجع</x:v>
      </x:c>
    </x:row>
    <x:row r="5" ht="78" customHeight="1">
      <x:c r="A5" s="5" t="str">
        <x:v>GOV-01</x:v>
      </x:c>
      <x:c r="B5" s="5" t="str">
        <x:v>القيادة والحوكمة</x:v>
      </x:c>
      <x:c r="C5" s="5" t="str">
        <x:v>الأهداف السنوية</x:v>
      </x:c>
      <x:c r="D5" s="5" t="str">
        <x:v>ربط أهداف الشركة بمؤشرات ومالك وخط أساس ومستهدف ومبادرات ممولة.</x:v>
      </x:c>
      <x:c r="E5" s="5" t="str">
        <x:v>الراعي التنفيذي / الحوكمة</x:v>
      </x:c>
      <x:c r="F5" s="5" t="str">
        <x:v>P1</x:v>
      </x:c>
      <x:c r="G5" s="5" t="str">
        <x:v>الأساس</x:v>
      </x:c>
      <x:c r="H5" s="5" t="str">
        <x:v>مقترح للاعتماد</x:v>
      </x:c>
      <x:c r="I5" s="5" t="str">
        <x:v>لا ينشر هدف دون مالك ومؤشر وموعد مراجعة.</x:v>
      </x:c>
      <x:c r="J5" s="5" t="str">
        <x:v>هوية موحدة + بيانات مرجعية + موافقات + مالك إجراء</x:v>
      </x:c>
      <x:c r="K5" s="5" t="str">
        <x:v>داخلي / حسب المشروع</x:v>
      </x:c>
      <x:c r="L5" s="5" t="str">
        <x:v>مؤشرات ومخاطر وصلاحيات في البوابة؛ الاكتمال غير مثبت</x:v>
      </x:c>
      <x:c r="M5" s="5" t="str">
        <x:v>بوابة 360؛ البروفايل ص56-59</x:v>
      </x:c>
      <x:c r="N5" s="5" t="str">
        <x:v>https://lovable.dev/projects/33b3cb53-d107-4a33-86b4-f958b21171ad</x:v>
      </x:c>
    </x:row>
    <x:row r="6" ht="78" customHeight="1">
      <x:c r="A6" s="5" t="str">
        <x:v>GOV-02</x:v>
      </x:c>
      <x:c r="B6" s="5" t="str">
        <x:v>القيادة والحوكمة</x:v>
      </x:c>
      <x:c r="C6" s="5" t="str">
        <x:v>المحفظة التنفيذية</x:v>
      </x:c>
      <x:c r="D6" s="5" t="str">
        <x:v>عرض المشاريع حسب الربحية والمخاطر والموارد والتحصيل لا عدد المهام فقط.</x:v>
      </x:c>
      <x:c r="E6" s="5" t="str">
        <x:v>الراعي التنفيذي / الحوكمة</x:v>
      </x:c>
      <x:c r="F6" s="5" t="str">
        <x:v>P1</x:v>
      </x:c>
      <x:c r="G6" s="5" t="str">
        <x:v>الأساس</x:v>
      </x:c>
      <x:c r="H6" s="5" t="str">
        <x:v>مقترح للاعتماد</x:v>
      </x:c>
      <x:c r="I6" s="5" t="str">
        <x:v>كل إشارة حمراء تنقل إلى سبب موثق وقرار مطلوب.</x:v>
      </x:c>
      <x:c r="J6" s="5" t="str">
        <x:v>هوية موحدة + بيانات مرجعية + موافقات + مالك إجراء</x:v>
      </x:c>
      <x:c r="K6" s="5" t="str">
        <x:v>داخلي / حسب المشروع</x:v>
      </x:c>
      <x:c r="L6" s="5" t="str">
        <x:v>مؤشرات ومخاطر وصلاحيات في البوابة؛ الاكتمال غير مثبت</x:v>
      </x:c>
      <x:c r="M6" s="5" t="str">
        <x:v>بوابة 360؛ البروفايل ص56-59</x:v>
      </x:c>
      <x:c r="N6" s="5" t="str">
        <x:v>https://lovable.dev/projects/33b3cb53-d107-4a33-86b4-f958b21171ad</x:v>
      </x:c>
    </x:row>
    <x:row r="7" ht="78" customHeight="1">
      <x:c r="A7" s="5" t="str">
        <x:v>GOV-03</x:v>
      </x:c>
      <x:c r="B7" s="5" t="str">
        <x:v>القيادة والحوكمة</x:v>
      </x:c>
      <x:c r="C7" s="5" t="str">
        <x:v>مصفوفة التفويض</x:v>
      </x:c>
      <x:c r="D7" s="5" t="str">
        <x:v>تعريف صلاحيات الاعتماد حسب الكيان ونوع الطلب والقيمة ومركز التكلفة.</x:v>
      </x:c>
      <x:c r="E7" s="5" t="str">
        <x:v>الراعي التنفيذي / الحوكمة</x:v>
      </x:c>
      <x:c r="F7" s="5" t="str">
        <x:v>P1</x:v>
      </x:c>
      <x:c r="G7" s="5" t="str">
        <x:v>الأساس</x:v>
      </x:c>
      <x:c r="H7" s="5" t="str">
        <x:v>مقترح للاعتماد</x:v>
      </x:c>
      <x:c r="I7" s="5" t="str">
        <x:v>تغيير سقف الاعتماد يسري من تاريخ محدد ولا يغير موافقات سابقة.</x:v>
      </x:c>
      <x:c r="J7" s="5" t="str">
        <x:v>هوية موحدة + بيانات مرجعية + موافقات + مالك إجراء</x:v>
      </x:c>
      <x:c r="K7" s="5" t="str">
        <x:v>داخلي / حسب المشروع</x:v>
      </x:c>
      <x:c r="L7" s="5" t="str">
        <x:v>مؤشرات ومخاطر وصلاحيات في البوابة؛ الاكتمال غير مثبت</x:v>
      </x:c>
      <x:c r="M7" s="5" t="str">
        <x:v>بوابة 360؛ البروفايل ص56-59</x:v>
      </x:c>
      <x:c r="N7" s="5" t="str">
        <x:v>https://lovable.dev/projects/33b3cb53-d107-4a33-86b4-f958b21171ad</x:v>
      </x:c>
    </x:row>
    <x:row r="8" ht="78" customHeight="1">
      <x:c r="A8" s="5" t="str">
        <x:v>GOV-04</x:v>
      </x:c>
      <x:c r="B8" s="5" t="str">
        <x:v>القيادة والحوكمة</x:v>
      </x:c>
      <x:c r="C8" s="5" t="str">
        <x:v>القرارات والمحاضر</x:v>
      </x:c>
      <x:c r="D8" s="5" t="str">
        <x:v>تسجيل القرار ونصه وصاحبه والمستند والإجراءات التابعة له.</x:v>
      </x:c>
      <x:c r="E8" s="5" t="str">
        <x:v>الراعي التنفيذي / الحوكمة</x:v>
      </x:c>
      <x:c r="F8" s="5" t="str">
        <x:v>P1</x:v>
      </x:c>
      <x:c r="G8" s="5" t="str">
        <x:v>الأساس</x:v>
      </x:c>
      <x:c r="H8" s="5" t="str">
        <x:v>مقترح للاعتماد</x:v>
      </x:c>
      <x:c r="I8" s="5" t="str">
        <x:v>لا يغلق القرار قبل اكتمال الأدلة والمهام التابعة.</x:v>
      </x:c>
      <x:c r="J8" s="5" t="str">
        <x:v>هوية موحدة + بيانات مرجعية + موافقات + مالك إجراء</x:v>
      </x:c>
      <x:c r="K8" s="5" t="str">
        <x:v>داخلي / حسب المشروع</x:v>
      </x:c>
      <x:c r="L8" s="5" t="str">
        <x:v>مؤشرات ومخاطر وصلاحيات في البوابة؛ الاكتمال غير مثبت</x:v>
      </x:c>
      <x:c r="M8" s="5" t="str">
        <x:v>بوابة 360؛ البروفايل ص56-59</x:v>
      </x:c>
      <x:c r="N8" s="5" t="str">
        <x:v>https://lovable.dev/projects/33b3cb53-d107-4a33-86b4-f958b21171ad</x:v>
      </x:c>
    </x:row>
    <x:row r="9" ht="78" customHeight="1">
      <x:c r="A9" s="5" t="str">
        <x:v>GOV-05</x:v>
      </x:c>
      <x:c r="B9" s="5" t="str">
        <x:v>القيادة والحوكمة</x:v>
      </x:c>
      <x:c r="C9" s="5" t="str">
        <x:v>ميزانية المبادرات</x:v>
      </x:c>
      <x:c r="D9" s="5" t="str">
        <x:v>فصل المقترح والمعتمد والمصروف والملتزم به لكل مبادرة.</x:v>
      </x:c>
      <x:c r="E9" s="5" t="str">
        <x:v>الراعي التنفيذي / الحوكمة</x:v>
      </x:c>
      <x:c r="F9" s="5" t="str">
        <x:v>P2</x:v>
      </x:c>
      <x:c r="G9" s="5" t="str">
        <x:v>الأساس</x:v>
      </x:c>
      <x:c r="H9" s="5" t="str">
        <x:v>مقترح للاعتماد</x:v>
      </x:c>
      <x:c r="I9" s="5" t="str">
        <x:v>تجاوز المخصص يوقف الالتزام أو يطلب استثناء موثقًا.</x:v>
      </x:c>
      <x:c r="J9" s="5" t="str">
        <x:v>هوية موحدة + بيانات مرجعية + موافقات + مالك إجراء</x:v>
      </x:c>
      <x:c r="K9" s="5" t="str">
        <x:v>داخلي / حسب المشروع</x:v>
      </x:c>
      <x:c r="L9" s="5" t="str">
        <x:v>مؤشرات ومخاطر وصلاحيات في البوابة؛ الاكتمال غير مثبت</x:v>
      </x:c>
      <x:c r="M9" s="5" t="str">
        <x:v>بوابة 360؛ البروفايل ص56-59</x:v>
      </x:c>
      <x:c r="N9" s="5" t="str">
        <x:v>https://lovable.dev/projects/33b3cb53-d107-4a33-86b4-f958b21171ad</x:v>
      </x:c>
    </x:row>
    <x:row r="10" ht="78" customHeight="1">
      <x:c r="A10" s="5" t="str">
        <x:v>GOV-06</x:v>
      </x:c>
      <x:c r="B10" s="5" t="str">
        <x:v>القيادة والحوكمة</x:v>
      </x:c>
      <x:c r="C10" s="5" t="str">
        <x:v>سجل المخاطر</x:v>
      </x:c>
      <x:c r="D10" s="5" t="str">
        <x:v>احتمال وأثر ومالك وإجراء تخفيف وتاريخ استحقاق ومخاطر متبقية.</x:v>
      </x:c>
      <x:c r="E10" s="5" t="str">
        <x:v>الراعي التنفيذي / الحوكمة</x:v>
      </x:c>
      <x:c r="F10" s="5" t="str">
        <x:v>P2</x:v>
      </x:c>
      <x:c r="G10" s="5" t="str">
        <x:v>الأساس</x:v>
      </x:c>
      <x:c r="H10" s="5" t="str">
        <x:v>مقترح للاعتماد</x:v>
      </x:c>
      <x:c r="I10" s="5" t="str">
        <x:v>كل خطر مرتفع له إجراء مفتوح أو قبول مخاطر مصدق.</x:v>
      </x:c>
      <x:c r="J10" s="5" t="str">
        <x:v>هوية موحدة + بيانات مرجعية + موافقات + مالك إجراء</x:v>
      </x:c>
      <x:c r="K10" s="5" t="str">
        <x:v>داخلي / حسب المشروع</x:v>
      </x:c>
      <x:c r="L10" s="5" t="str">
        <x:v>مؤشرات ومخاطر وصلاحيات في البوابة؛ الاكتمال غير مثبت</x:v>
      </x:c>
      <x:c r="M10" s="5" t="str">
        <x:v>بوابة 360؛ البروفايل ص56-59</x:v>
      </x:c>
      <x:c r="N10" s="5" t="str">
        <x:v>https://lovable.dev/projects/33b3cb53-d107-4a33-86b4-f958b21171ad</x:v>
      </x:c>
    </x:row>
    <x:row r="11" ht="78" customHeight="1">
      <x:c r="A11" s="5" t="str">
        <x:v>GOV-07</x:v>
      </x:c>
      <x:c r="B11" s="5" t="str">
        <x:v>القيادة والحوكمة</x:v>
      </x:c>
      <x:c r="C11" s="5" t="str">
        <x:v>المؤشرات المؤرخة</x:v>
      </x:c>
      <x:c r="D11" s="5" t="str">
        <x:v>عرض المصدر والفترة وآخر تحديث وتعريف كل مؤشر.</x:v>
      </x:c>
      <x:c r="E11" s="5" t="str">
        <x:v>الراعي التنفيذي / الحوكمة</x:v>
      </x:c>
      <x:c r="F11" s="5" t="str">
        <x:v>P2</x:v>
      </x:c>
      <x:c r="G11" s="5" t="str">
        <x:v>الأساس</x:v>
      </x:c>
      <x:c r="H11" s="5" t="str">
        <x:v>مقترح للاعتماد</x:v>
      </x:c>
      <x:c r="I11" s="5" t="str">
        <x:v>لا يظهر رقم قديم بوسم لحظي أو رقم مجهول كمعلومة مؤكدة.</x:v>
      </x:c>
      <x:c r="J11" s="5" t="str">
        <x:v>هوية موحدة + بيانات مرجعية + موافقات + مالك إجراء</x:v>
      </x:c>
      <x:c r="K11" s="5" t="str">
        <x:v>داخلي / حسب المشروع</x:v>
      </x:c>
      <x:c r="L11" s="5" t="str">
        <x:v>مؤشرات ومخاطر وصلاحيات في البوابة؛ الاكتمال غير مثبت</x:v>
      </x:c>
      <x:c r="M11" s="5" t="str">
        <x:v>بوابة 360؛ البروفايل ص56-59</x:v>
      </x:c>
      <x:c r="N11" s="5" t="str">
        <x:v>https://lovable.dev/projects/33b3cb53-d107-4a33-86b4-f958b21171ad</x:v>
      </x:c>
    </x:row>
    <x:row r="12" ht="78" customHeight="1">
      <x:c r="A12" s="5" t="str">
        <x:v>GOV-08</x:v>
      </x:c>
      <x:c r="B12" s="5" t="str">
        <x:v>القيادة والحوكمة</x:v>
      </x:c>
      <x:c r="C12" s="5" t="str">
        <x:v>الاجتماعات التنفيذية</x:v>
      </x:c>
      <x:c r="D12" s="5" t="str">
        <x:v>إنتاج حزمة مراجعة دورية من البيانات المصدقة.</x:v>
      </x:c>
      <x:c r="E12" s="5" t="str">
        <x:v>الراعي التنفيذي / الحوكمة</x:v>
      </x:c>
      <x:c r="F12" s="5" t="str">
        <x:v>P2</x:v>
      </x:c>
      <x:c r="G12" s="5" t="str">
        <x:v>الأساس</x:v>
      </x:c>
      <x:c r="H12" s="5" t="str">
        <x:v>مقترح للاعتماد</x:v>
      </x:c>
      <x:c r="I12" s="5" t="str">
        <x:v>النسخة المنشورة ثابتة ويمكن تتبع الفروقات عن النسخة السابقة.</x:v>
      </x:c>
      <x:c r="J12" s="5" t="str">
        <x:v>هوية موحدة + بيانات مرجعية + موافقات + مالك إجراء</x:v>
      </x:c>
      <x:c r="K12" s="5" t="str">
        <x:v>داخلي / حسب المشروع</x:v>
      </x:c>
      <x:c r="L12" s="5" t="str">
        <x:v>مؤشرات ومخاطر وصلاحيات في البوابة؛ الاكتمال غير مثبت</x:v>
      </x:c>
      <x:c r="M12" s="5" t="str">
        <x:v>بوابة 360؛ البروفايل ص56-59</x:v>
      </x:c>
      <x:c r="N12" s="5" t="str">
        <x:v>https://lovable.dev/projects/33b3cb53-d107-4a33-86b4-f958b21171ad</x:v>
      </x:c>
    </x:row>
    <x:row r="13" ht="78" customHeight="1">
      <x:c r="A13" s="5" t="str">
        <x:v>GOV-09</x:v>
      </x:c>
      <x:c r="B13" s="5" t="str">
        <x:v>القيادة والحوكمة</x:v>
      </x:c>
      <x:c r="C13" s="5" t="str">
        <x:v>تضارب المصالح</x:v>
      </x:c>
      <x:c r="D13" s="5" t="str">
        <x:v>إقرار تعارض مصالح في الشراء والتعيين واختيار الموردين.</x:v>
      </x:c>
      <x:c r="E13" s="5" t="str">
        <x:v>الراعي التنفيذي / الحوكمة</x:v>
      </x:c>
      <x:c r="F13" s="5" t="str">
        <x:v>P2</x:v>
      </x:c>
      <x:c r="G13" s="5" t="str">
        <x:v>الأساس</x:v>
      </x:c>
      <x:c r="H13" s="5" t="str">
        <x:v>مقترح للاعتماد</x:v>
      </x:c>
      <x:c r="I13" s="5" t="str">
        <x:v>المشارك المتعارض لا يعتمد المعاملة ذات الصلة.</x:v>
      </x:c>
      <x:c r="J13" s="5" t="str">
        <x:v>هوية موحدة + بيانات مرجعية + موافقات + مالك إجراء</x:v>
      </x:c>
      <x:c r="K13" s="5" t="str">
        <x:v>داخلي / حسب المشروع</x:v>
      </x:c>
      <x:c r="L13" s="5" t="str">
        <x:v>مؤشرات ومخاطر وصلاحيات في البوابة؛ الاكتمال غير مثبت</x:v>
      </x:c>
      <x:c r="M13" s="5" t="str">
        <x:v>بوابة 360؛ البروفايل ص56-59</x:v>
      </x:c>
      <x:c r="N13" s="5" t="str">
        <x:v>https://lovable.dev/projects/33b3cb53-d107-4a33-86b4-f958b21171ad</x:v>
      </x:c>
    </x:row>
    <x:row r="14" ht="78" customHeight="1">
      <x:c r="A14" s="5" t="str">
        <x:v>GOV-10</x:v>
      </x:c>
      <x:c r="B14" s="5" t="str">
        <x:v>القيادة والحوكمة</x:v>
      </x:c>
      <x:c r="C14" s="5" t="str">
        <x:v>الرقابة الداخلية</x:v>
      </x:c>
      <x:c r="D14" s="5" t="str">
        <x:v>جدولة مراجعات تفويض ووصول والتزام مع أدلة وإجراءات تصحيح.</x:v>
      </x:c>
      <x:c r="E14" s="5" t="str">
        <x:v>الراعي التنفيذي / الحوكمة</x:v>
      </x:c>
      <x:c r="F14" s="5" t="str">
        <x:v>P2</x:v>
      </x:c>
      <x:c r="G14" s="5" t="str">
        <x:v>الأساس</x:v>
      </x:c>
      <x:c r="H14" s="5" t="str">
        <x:v>مقترح للاعتماد</x:v>
      </x:c>
      <x:c r="I14" s="5" t="str">
        <x:v>كل ملاحظة لها مسؤول وموعد وإثبات إغلاق.</x:v>
      </x:c>
      <x:c r="J14" s="5" t="str">
        <x:v>هوية موحدة + بيانات مرجعية + موافقات + مالك إجراء</x:v>
      </x:c>
      <x:c r="K14" s="5" t="str">
        <x:v>داخلي / حسب المشروع</x:v>
      </x:c>
      <x:c r="L14" s="5" t="str">
        <x:v>مؤشرات ومخاطر وصلاحيات في البوابة؛ الاكتمال غير مثبت</x:v>
      </x:c>
      <x:c r="M14" s="5" t="str">
        <x:v>بوابة 360؛ البروفايل ص56-59</x:v>
      </x:c>
      <x:c r="N14" s="5" t="str">
        <x:v>https://lovable.dev/projects/33b3cb53-d107-4a33-86b4-f958b21171ad</x:v>
      </x:c>
    </x:row>
    <x:row r="15" ht="78" customHeight="1">
      <x:c r="A15" s="5" t="str">
        <x:v>CRM-01</x:v>
      </x:c>
      <x:c r="B15" s="5" t="str">
        <x:v>النمو والمبيعات والمنافسات</x:v>
      </x:c>
      <x:c r="C15" s="5" t="str">
        <x:v>سجل العملاء المحتملين</x:v>
      </x:c>
      <x:c r="D15" s="5" t="str">
        <x:v>توحيد الجهات وجهات الاتصال والمصدر والقطاع ومالك العلاقة.</x:v>
      </x:c>
      <x:c r="E15" s="5" t="str">
        <x:v>مدير النمو / المبيعات</x:v>
      </x:c>
      <x:c r="F15" s="5" t="str">
        <x:v>P1</x:v>
      </x:c>
      <x:c r="G15" s="5" t="str">
        <x:v>التشغيل</x:v>
      </x:c>
      <x:c r="H15" s="5" t="str">
        <x:v>مقترح للاعتماد</x:v>
      </x:c>
      <x:c r="I15" s="5" t="str">
        <x:v>إنشاء جهة برقم سجل مكرر يعرض تعارضًا قبل الحفظ.</x:v>
      </x:c>
      <x:c r="J15" s="5" t="str">
        <x:v>هوية موحدة + بيانات مرجعية + موافقات + مالك إجراء</x:v>
      </x:c>
      <x:c r="K15" s="5" t="str">
        <x:v>داخلي / حسب المشروع</x:v>
      </x:c>
      <x:c r="L15" s="5" t="str">
        <x:v>جداول عملاء وفرص وعقود؛ مسار البيع الكامل غير مختبر</x:v>
      </x:c>
      <x:c r="M15" s="5" t="str">
        <x:v>بوابة 360: accounts/leads/opportunities/contracts</x:v>
      </x:c>
      <x:c r="N15" s="5" t="str">
        <x:v>https://lovable.dev/projects/33b3cb53-d107-4a33-86b4-f958b21171ad</x:v>
      </x:c>
    </x:row>
    <x:row r="16" ht="78" customHeight="1">
      <x:c r="A16" s="5" t="str">
        <x:v>CRM-02</x:v>
      </x:c>
      <x:c r="B16" s="5" t="str">
        <x:v>النمو والمبيعات والمنافسات</x:v>
      </x:c>
      <x:c r="C16" s="5" t="str">
        <x:v>تأهيل الفرص</x:v>
      </x:c>
      <x:c r="D16" s="5" t="str">
        <x:v>تسجيل الاحتياج والميزانية والتوقيت وصاحب القرار وملاءمة الخدمات.</x:v>
      </x:c>
      <x:c r="E16" s="5" t="str">
        <x:v>مدير النمو / المبيعات</x:v>
      </x:c>
      <x:c r="F16" s="5" t="str">
        <x:v>P1</x:v>
      </x:c>
      <x:c r="G16" s="5" t="str">
        <x:v>التشغيل</x:v>
      </x:c>
      <x:c r="H16" s="5" t="str">
        <x:v>مقترح للاعتماد</x:v>
      </x:c>
      <x:c r="I16" s="5" t="str">
        <x:v>لا تنتقل الفرصة لعرض سعر دون تأهيل معتمد أو استثناء.</x:v>
      </x:c>
      <x:c r="J16" s="5" t="str">
        <x:v>هوية موحدة + بيانات مرجعية + موافقات + مالك إجراء</x:v>
      </x:c>
      <x:c r="K16" s="5" t="str">
        <x:v>داخلي / حسب المشروع</x:v>
      </x:c>
      <x:c r="L16" s="5" t="str">
        <x:v>جداول عملاء وفرص وعقود؛ مسار البيع الكامل غير مختبر</x:v>
      </x:c>
      <x:c r="M16" s="5" t="str">
        <x:v>بوابة 360: accounts/leads/opportunities/contracts</x:v>
      </x:c>
      <x:c r="N16" s="5" t="str">
        <x:v>https://lovable.dev/projects/33b3cb53-d107-4a33-86b4-f958b21171ad</x:v>
      </x:c>
    </x:row>
    <x:row r="17" ht="78" customHeight="1">
      <x:c r="A17" s="5" t="str">
        <x:v>CRM-03</x:v>
      </x:c>
      <x:c r="B17" s="5" t="str">
        <x:v>النمو والمبيعات والمنافسات</x:v>
      </x:c>
      <x:c r="C17" s="5" t="str">
        <x:v>المنافسات</x:v>
      </x:c>
      <x:c r="D17" s="5" t="str">
        <x:v>تسجيل الكراسة والمواعيد والأسئلة والضمانات ومسؤول كل مستند.</x:v>
      </x:c>
      <x:c r="E17" s="5" t="str">
        <x:v>مدير النمو / المبيعات</x:v>
      </x:c>
      <x:c r="F17" s="5" t="str">
        <x:v>P1</x:v>
      </x:c>
      <x:c r="G17" s="5" t="str">
        <x:v>التشغيل</x:v>
      </x:c>
      <x:c r="H17" s="5" t="str">
        <x:v>مقترح للاعتماد</x:v>
      </x:c>
      <x:c r="I17" s="5" t="str">
        <x:v>تنبيه قبل الموعد؛ لا ترسل نسخة قديمة من العرض.</x:v>
      </x:c>
      <x:c r="J17" s="5" t="str">
        <x:v>هوية موحدة + بيانات مرجعية + موافقات + مالك إجراء</x:v>
      </x:c>
      <x:c r="K17" s="5" t="str">
        <x:v>داخلي / حسب المشروع</x:v>
      </x:c>
      <x:c r="L17" s="5" t="str">
        <x:v>جداول عملاء وفرص وعقود؛ مسار البيع الكامل غير مختبر</x:v>
      </x:c>
      <x:c r="M17" s="5" t="str">
        <x:v>بوابة 360: accounts/leads/opportunities/contracts</x:v>
      </x:c>
      <x:c r="N17" s="5" t="str">
        <x:v>https://lovable.dev/projects/33b3cb53-d107-4a33-86b4-f958b21171ad</x:v>
      </x:c>
    </x:row>
    <x:row r="18" ht="78" customHeight="1">
      <x:c r="A18" s="5" t="str">
        <x:v>CRM-04</x:v>
      </x:c>
      <x:c r="B18" s="5" t="str">
        <x:v>النمو والمبيعات والمنافسات</x:v>
      </x:c>
      <x:c r="C18" s="5" t="str">
        <x:v>قرار الدخول</x:v>
      </x:c>
      <x:c r="D18" s="5" t="str">
        <x:v>تقييم جدوى المنافسة والطاقة والمخاطر وشروط الدفع.</x:v>
      </x:c>
      <x:c r="E18" s="5" t="str">
        <x:v>مدير النمو / المبيعات</x:v>
      </x:c>
      <x:c r="F18" s="5" t="str">
        <x:v>P1</x:v>
      </x:c>
      <x:c r="G18" s="5" t="str">
        <x:v>التشغيل</x:v>
      </x:c>
      <x:c r="H18" s="5" t="str">
        <x:v>مقترح للاعتماد</x:v>
      </x:c>
      <x:c r="I18" s="5" t="str">
        <x:v>قرار الدخول أو عدمه محفوظ مع التبرير والاعتماد.</x:v>
      </x:c>
      <x:c r="J18" s="5" t="str">
        <x:v>هوية موحدة + بيانات مرجعية + موافقات + مالك إجراء</x:v>
      </x:c>
      <x:c r="K18" s="5" t="str">
        <x:v>داخلي / حسب المشروع</x:v>
      </x:c>
      <x:c r="L18" s="5" t="str">
        <x:v>جداول عملاء وفرص وعقود؛ مسار البيع الكامل غير مختبر</x:v>
      </x:c>
      <x:c r="M18" s="5" t="str">
        <x:v>بوابة 360: accounts/leads/opportunities/contracts</x:v>
      </x:c>
      <x:c r="N18" s="5" t="str">
        <x:v>https://lovable.dev/projects/33b3cb53-d107-4a33-86b4-f958b21171ad</x:v>
      </x:c>
    </x:row>
    <x:row r="19" ht="78" customHeight="1">
      <x:c r="A19" s="5" t="str">
        <x:v>CRM-05</x:v>
      </x:c>
      <x:c r="B19" s="5" t="str">
        <x:v>النمو والمبيعات والمنافسات</x:v>
      </x:c>
      <x:c r="C19" s="5" t="str">
        <x:v>كتالوج التسعير</x:v>
      </x:c>
      <x:c r="D19" s="5" t="str">
        <x:v>تسعير ساعات وخدمات ومخرجات وشراء إعلامي وتكاليف خارجية.</x:v>
      </x:c>
      <x:c r="E19" s="5" t="str">
        <x:v>مدير النمو / المبيعات</x:v>
      </x:c>
      <x:c r="F19" s="5" t="str">
        <x:v>P2</x:v>
      </x:c>
      <x:c r="G19" s="5" t="str">
        <x:v>التشغيل</x:v>
      </x:c>
      <x:c r="H19" s="5" t="str">
        <x:v>مقترح للاعتماد</x:v>
      </x:c>
      <x:c r="I19" s="5" t="str">
        <x:v>يظهر هامش كل عرض وفق إصدار تكلفة محدد.</x:v>
      </x:c>
      <x:c r="J19" s="5" t="str">
        <x:v>هوية موحدة + بيانات مرجعية + موافقات + مالك إجراء</x:v>
      </x:c>
      <x:c r="K19" s="5" t="str">
        <x:v>داخلي / حسب المشروع</x:v>
      </x:c>
      <x:c r="L19" s="5" t="str">
        <x:v>جداول عملاء وفرص وعقود؛ مسار البيع الكامل غير مختبر</x:v>
      </x:c>
      <x:c r="M19" s="5" t="str">
        <x:v>بوابة 360: accounts/leads/opportunities/contracts</x:v>
      </x:c>
      <x:c r="N19" s="5" t="str">
        <x:v>https://lovable.dev/projects/33b3cb53-d107-4a33-86b4-f958b21171ad</x:v>
      </x:c>
    </x:row>
    <x:row r="20" ht="78" customHeight="1">
      <x:c r="A20" s="5" t="str">
        <x:v>CRM-06</x:v>
      </x:c>
      <x:c r="B20" s="5" t="str">
        <x:v>النمو والمبيعات والمنافسات</x:v>
      </x:c>
      <x:c r="C20" s="5" t="str">
        <x:v>نسخ العروض</x:v>
      </x:c>
      <x:c r="D20" s="5" t="str">
        <x:v>ضبط الإصدار والعملة والضريبة والخصومات وصلاحية العرض.</x:v>
      </x:c>
      <x:c r="E20" s="5" t="str">
        <x:v>مدير النمو / المبيعات</x:v>
      </x:c>
      <x:c r="F20" s="5" t="str">
        <x:v>P2</x:v>
      </x:c>
      <x:c r="G20" s="5" t="str">
        <x:v>التشغيل</x:v>
      </x:c>
      <x:c r="H20" s="5" t="str">
        <x:v>مقترح للاعتماد</x:v>
      </x:c>
      <x:c r="I20" s="5" t="str">
        <x:v>النسخة المرسلة قابلة للاسترجاع ولا تعدل بأثر رجعي.</x:v>
      </x:c>
      <x:c r="J20" s="5" t="str">
        <x:v>هوية موحدة + بيانات مرجعية + موافقات + مالك إجراء</x:v>
      </x:c>
      <x:c r="K20" s="5" t="str">
        <x:v>داخلي / حسب المشروع</x:v>
      </x:c>
      <x:c r="L20" s="5" t="str">
        <x:v>جداول عملاء وفرص وعقود؛ مسار البيع الكامل غير مختبر</x:v>
      </x:c>
      <x:c r="M20" s="5" t="str">
        <x:v>بوابة 360: accounts/leads/opportunities/contracts</x:v>
      </x:c>
      <x:c r="N20" s="5" t="str">
        <x:v>https://lovable.dev/projects/33b3cb53-d107-4a33-86b4-f958b21171ad</x:v>
      </x:c>
    </x:row>
    <x:row r="21" ht="78" customHeight="1">
      <x:c r="A21" s="5" t="str">
        <x:v>CRM-07</x:v>
      </x:c>
      <x:c r="B21" s="5" t="str">
        <x:v>النمو والمبيعات والمنافسات</x:v>
      </x:c>
      <x:c r="C21" s="5" t="str">
        <x:v>اعتماد الهامش</x:v>
      </x:c>
      <x:c r="D21" s="5" t="str">
        <x:v>توجيه الخصم أو هامش دون الحد إلى مفوض أعلى.</x:v>
      </x:c>
      <x:c r="E21" s="5" t="str">
        <x:v>مدير النمو / المبيعات</x:v>
      </x:c>
      <x:c r="F21" s="5" t="str">
        <x:v>P2</x:v>
      </x:c>
      <x:c r="G21" s="5" t="str">
        <x:v>التشغيل</x:v>
      </x:c>
      <x:c r="H21" s="5" t="str">
        <x:v>مقترح للاعتماد</x:v>
      </x:c>
      <x:c r="I21" s="5" t="str">
        <x:v>لا يرسل عرض خارج حدود التفويض من حساب معده.</x:v>
      </x:c>
      <x:c r="J21" s="5" t="str">
        <x:v>هوية موحدة + بيانات مرجعية + موافقات + مالك إجراء</x:v>
      </x:c>
      <x:c r="K21" s="5" t="str">
        <x:v>داخلي / حسب المشروع</x:v>
      </x:c>
      <x:c r="L21" s="5" t="str">
        <x:v>جداول عملاء وفرص وعقود؛ مسار البيع الكامل غير مختبر</x:v>
      </x:c>
      <x:c r="M21" s="5" t="str">
        <x:v>بوابة 360: accounts/leads/opportunities/contracts</x:v>
      </x:c>
      <x:c r="N21" s="5" t="str">
        <x:v>https://lovable.dev/projects/33b3cb53-d107-4a33-86b4-f958b21171ad</x:v>
      </x:c>
    </x:row>
    <x:row r="22" ht="78" customHeight="1">
      <x:c r="A22" s="5" t="str">
        <x:v>CRM-08</x:v>
      </x:c>
      <x:c r="B22" s="5" t="str">
        <x:v>النمو والمبيعات والمنافسات</x:v>
      </x:c>
      <x:c r="C22" s="5" t="str">
        <x:v>التوقعات البيعية</x:v>
      </x:c>
      <x:c r="D22" s="5" t="str">
        <x:v>توقع الإغلاق بناء على قيمة واحتمال وتاريخ مع فصل التقدير عن الإيراد.</x:v>
      </x:c>
      <x:c r="E22" s="5" t="str">
        <x:v>مدير النمو / المبيعات</x:v>
      </x:c>
      <x:c r="F22" s="5" t="str">
        <x:v>P2</x:v>
      </x:c>
      <x:c r="G22" s="5" t="str">
        <x:v>التشغيل</x:v>
      </x:c>
      <x:c r="H22" s="5" t="str">
        <x:v>مقترح للاعتماد</x:v>
      </x:c>
      <x:c r="I22" s="5" t="str">
        <x:v>لا يحتسب عرض غير متعاقد كإيراد معترف به.</x:v>
      </x:c>
      <x:c r="J22" s="5" t="str">
        <x:v>هوية موحدة + بيانات مرجعية + موافقات + مالك إجراء</x:v>
      </x:c>
      <x:c r="K22" s="5" t="str">
        <x:v>داخلي / حسب المشروع</x:v>
      </x:c>
      <x:c r="L22" s="5" t="str">
        <x:v>جداول عملاء وفرص وعقود؛ مسار البيع الكامل غير مختبر</x:v>
      </x:c>
      <x:c r="M22" s="5" t="str">
        <x:v>بوابة 360: accounts/leads/opportunities/contracts</x:v>
      </x:c>
      <x:c r="N22" s="5" t="str">
        <x:v>https://lovable.dev/projects/33b3cb53-d107-4a33-86b4-f958b21171ad</x:v>
      </x:c>
    </x:row>
    <x:row r="23" ht="78" customHeight="1">
      <x:c r="A23" s="5" t="str">
        <x:v>CRM-09</x:v>
      </x:c>
      <x:c r="B23" s="5" t="str">
        <x:v>النمو والمبيعات والمنافسات</x:v>
      </x:c>
      <x:c r="C23" s="5" t="str">
        <x:v>التسليم للتشغيل</x:v>
      </x:c>
      <x:c r="D23" s="5" t="str">
        <x:v>تحويل الفوز إلى مشروع من النطاق والعقد والميزانية المعتمدة.</x:v>
      </x:c>
      <x:c r="E23" s="5" t="str">
        <x:v>مدير النمو / المبيعات</x:v>
      </x:c>
      <x:c r="F23" s="5" t="str">
        <x:v>P2</x:v>
      </x:c>
      <x:c r="G23" s="5" t="str">
        <x:v>التشغيل</x:v>
      </x:c>
      <x:c r="H23" s="5" t="str">
        <x:v>مقترح للاعتماد</x:v>
      </x:c>
      <x:c r="I23" s="5" t="str">
        <x:v>لا يتطلب الانتقال إعادة إدخال العميل أو نطاق المخرجات.</x:v>
      </x:c>
      <x:c r="J23" s="5" t="str">
        <x:v>هوية موحدة + بيانات مرجعية + موافقات + مالك إجراء</x:v>
      </x:c>
      <x:c r="K23" s="5" t="str">
        <x:v>داخلي / حسب المشروع</x:v>
      </x:c>
      <x:c r="L23" s="5" t="str">
        <x:v>جداول عملاء وفرص وعقود؛ مسار البيع الكامل غير مختبر</x:v>
      </x:c>
      <x:c r="M23" s="5" t="str">
        <x:v>بوابة 360: accounts/leads/opportunities/contracts</x:v>
      </x:c>
      <x:c r="N23" s="5" t="str">
        <x:v>https://lovable.dev/projects/33b3cb53-d107-4a33-86b4-f958b21171ad</x:v>
      </x:c>
    </x:row>
    <x:row r="24" ht="78" customHeight="1">
      <x:c r="A24" s="5" t="str">
        <x:v>CRM-10</x:v>
      </x:c>
      <x:c r="B24" s="5" t="str">
        <x:v>النمو والمبيعات والمنافسات</x:v>
      </x:c>
      <x:c r="C24" s="5" t="str">
        <x:v>أسباب الخسارة</x:v>
      </x:c>
      <x:c r="D24" s="5" t="str">
        <x:v>تصنيف الخسارة وتحليل المنافس والسعر والتوقيت والتغذية الراجعة.</x:v>
      </x:c>
      <x:c r="E24" s="5" t="str">
        <x:v>مدير النمو / المبيعات</x:v>
      </x:c>
      <x:c r="F24" s="5" t="str">
        <x:v>P2</x:v>
      </x:c>
      <x:c r="G24" s="5" t="str">
        <x:v>التشغيل</x:v>
      </x:c>
      <x:c r="H24" s="5" t="str">
        <x:v>مقترح للاعتماد</x:v>
      </x:c>
      <x:c r="I24" s="5" t="str">
        <x:v>كل فرصة مغلقة بالخسارة لها سبب ودرس قابل للمراجعة.</x:v>
      </x:c>
      <x:c r="J24" s="5" t="str">
        <x:v>هوية موحدة + بيانات مرجعية + موافقات + مالك إجراء</x:v>
      </x:c>
      <x:c r="K24" s="5" t="str">
        <x:v>داخلي / حسب المشروع</x:v>
      </x:c>
      <x:c r="L24" s="5" t="str">
        <x:v>جداول عملاء وفرص وعقود؛ مسار البيع الكامل غير مختبر</x:v>
      </x:c>
      <x:c r="M24" s="5" t="str">
        <x:v>بوابة 360: accounts/leads/opportunities/contracts</x:v>
      </x:c>
      <x:c r="N24" s="5" t="str">
        <x:v>https://lovable.dev/projects/33b3cb53-d107-4a33-86b4-f958b21171ad</x:v>
      </x:c>
    </x:row>
    <x:row r="25" ht="78" customHeight="1">
      <x:c r="A25" s="5" t="str">
        <x:v>ACC-01</x:v>
      </x:c>
      <x:c r="B25" s="5" t="str">
        <x:v>إدارة الحسابات وتجربة العميل</x:v>
      </x:c>
      <x:c r="C25" s="5" t="str">
        <x:v>ملف الحساب الموحد</x:v>
      </x:c>
      <x:c r="D25" s="5" t="str">
        <x:v>تجميع العقود والفرص والمشاريع والمراسلات وجهات التفويض للعميل.</x:v>
      </x:c>
      <x:c r="E25" s="5" t="str">
        <x:v>مدير الحسابات</x:v>
      </x:c>
      <x:c r="F25" s="5" t="str">
        <x:v>P1</x:v>
      </x:c>
      <x:c r="G25" s="5" t="str">
        <x:v>التشغيل</x:v>
      </x:c>
      <x:c r="H25" s="5" t="str">
        <x:v>مقترح للاعتماد</x:v>
      </x:c>
      <x:c r="I25" s="5" t="str">
        <x:v>يصل مدير الحساب للمعلومات ضمن نطاق حساباته فقط.</x:v>
      </x:c>
      <x:c r="J25" s="5" t="str">
        <x:v>هوية موحدة + بيانات مرجعية + موافقات + مالك إجراء</x:v>
      </x:c>
      <x:c r="K25" s="5" t="str">
        <x:v>داخلي / حسب المشروع</x:v>
      </x:c>
      <x:c r="L25" s="5" t="str">
        <x:v>accounts ومشاريع؛ بوابة عميل تفصيلية غير مثبتة</x:v>
      </x:c>
      <x:c r="M25" s="5" t="str">
        <x:v>بوابة 360؛ البروفايل ص7</x:v>
      </x:c>
      <x:c r="N25" s="5" t="str">
        <x:v>https://lovable.dev/projects/33b3cb53-d107-4a33-86b4-f958b21171ad</x:v>
      </x:c>
    </x:row>
    <x:row r="26" ht="78" customHeight="1">
      <x:c r="A26" s="5" t="str">
        <x:v>ACC-02</x:v>
      </x:c>
      <x:c r="B26" s="5" t="str">
        <x:v>إدارة الحسابات وتجربة العميل</x:v>
      </x:c>
      <x:c r="C26" s="5" t="str">
        <x:v>استقبال التكليف</x:v>
      </x:c>
      <x:c r="D26" s="5" t="str">
        <x:v>نموذج brief يحدد الهدف والجمهور والرسالة والقنوات والمواعيد والمخرجات.</x:v>
      </x:c>
      <x:c r="E26" s="5" t="str">
        <x:v>مدير الحسابات</x:v>
      </x:c>
      <x:c r="F26" s="5" t="str">
        <x:v>P1</x:v>
      </x:c>
      <x:c r="G26" s="5" t="str">
        <x:v>التشغيل</x:v>
      </x:c>
      <x:c r="H26" s="5" t="str">
        <x:v>مقترح للاعتماد</x:v>
      </x:c>
      <x:c r="I26" s="5" t="str">
        <x:v>يرفض التكليف الناقص أو يعاد للعميل مع النواقص.</x:v>
      </x:c>
      <x:c r="J26" s="5" t="str">
        <x:v>هوية موحدة + بيانات مرجعية + موافقات + مالك إجراء</x:v>
      </x:c>
      <x:c r="K26" s="5" t="str">
        <x:v>داخلي / حسب المشروع</x:v>
      </x:c>
      <x:c r="L26" s="5" t="str">
        <x:v>accounts ومشاريع؛ بوابة عميل تفصيلية غير مثبتة</x:v>
      </x:c>
      <x:c r="M26" s="5" t="str">
        <x:v>بوابة 360؛ البروفايل ص7</x:v>
      </x:c>
      <x:c r="N26" s="5" t="str">
        <x:v>https://lovable.dev/projects/33b3cb53-d107-4a33-86b4-f958b21171ad</x:v>
      </x:c>
    </x:row>
    <x:row r="27" ht="78" customHeight="1">
      <x:c r="A27" s="5" t="str">
        <x:v>ACC-03</x:v>
      </x:c>
      <x:c r="B27" s="5" t="str">
        <x:v>إدارة الحسابات وتجربة العميل</x:v>
      </x:c>
      <x:c r="C27" s="5" t="str">
        <x:v>حدود النطاق</x:v>
      </x:c>
      <x:c r="D27" s="5" t="str">
        <x:v>ربط كل مخرج ببند تعاقدي وعدد مراجعات واستثناءات واضحة.</x:v>
      </x:c>
      <x:c r="E27" s="5" t="str">
        <x:v>مدير الحسابات</x:v>
      </x:c>
      <x:c r="F27" s="5" t="str">
        <x:v>P1</x:v>
      </x:c>
      <x:c r="G27" s="5" t="str">
        <x:v>التشغيل</x:v>
      </x:c>
      <x:c r="H27" s="5" t="str">
        <x:v>مقترح للاعتماد</x:v>
      </x:c>
      <x:c r="I27" s="5" t="str">
        <x:v>التعديل خارج النطاق يولد طلب تغيير لا مهمة مجانية تلقائيًا.</x:v>
      </x:c>
      <x:c r="J27" s="5" t="str">
        <x:v>هوية موحدة + بيانات مرجعية + موافقات + مالك إجراء</x:v>
      </x:c>
      <x:c r="K27" s="5" t="str">
        <x:v>داخلي / حسب المشروع</x:v>
      </x:c>
      <x:c r="L27" s="5" t="str">
        <x:v>accounts ومشاريع؛ بوابة عميل تفصيلية غير مثبتة</x:v>
      </x:c>
      <x:c r="M27" s="5" t="str">
        <x:v>بوابة 360؛ البروفايل ص7</x:v>
      </x:c>
      <x:c r="N27" s="5" t="str">
        <x:v>https://lovable.dev/projects/33b3cb53-d107-4a33-86b4-f958b21171ad</x:v>
      </x:c>
    </x:row>
    <x:row r="28" ht="78" customHeight="1">
      <x:c r="A28" s="5" t="str">
        <x:v>ACC-04</x:v>
      </x:c>
      <x:c r="B28" s="5" t="str">
        <x:v>إدارة الحسابات وتجربة العميل</x:v>
      </x:c>
      <x:c r="C28" s="5" t="str">
        <x:v>بوابة اعتماد العميل</x:v>
      </x:c>
      <x:c r="D28" s="5" t="str">
        <x:v>دعوة جهات اتصال محددة لصلاحيات تعليق أو اعتماد على نسخة بعينها.</x:v>
      </x:c>
      <x:c r="E28" s="5" t="str">
        <x:v>مدير الحسابات</x:v>
      </x:c>
      <x:c r="F28" s="5" t="str">
        <x:v>P1</x:v>
      </x:c>
      <x:c r="G28" s="5" t="str">
        <x:v>التشغيل</x:v>
      </x:c>
      <x:c r="H28" s="5" t="str">
        <x:v>مقترح للاعتماد</x:v>
      </x:c>
      <x:c r="I28" s="5" t="str">
        <x:v>عميل لا يستطيع الاطلاع على عميل آخر حتى بمعرفة المعرف.</x:v>
      </x:c>
      <x:c r="J28" s="5" t="str">
        <x:v>هوية موحدة + بيانات مرجعية + موافقات + مالك إجراء</x:v>
      </x:c>
      <x:c r="K28" s="5" t="str">
        <x:v>داخلي / حسب المشروع</x:v>
      </x:c>
      <x:c r="L28" s="5" t="str">
        <x:v>accounts ومشاريع؛ بوابة عميل تفصيلية غير مثبتة</x:v>
      </x:c>
      <x:c r="M28" s="5" t="str">
        <x:v>بوابة 360؛ البروفايل ص7</x:v>
      </x:c>
      <x:c r="N28" s="5" t="str">
        <x:v>https://lovable.dev/projects/33b3cb53-d107-4a33-86b4-f958b21171ad</x:v>
      </x:c>
    </x:row>
    <x:row r="29" ht="78" customHeight="1">
      <x:c r="A29" s="5" t="str">
        <x:v>ACC-05</x:v>
      </x:c>
      <x:c r="B29" s="5" t="str">
        <x:v>إدارة الحسابات وتجربة العميل</x:v>
      </x:c>
      <x:c r="C29" s="5" t="str">
        <x:v>تغذية راجعة موحدة</x:v>
      </x:c>
      <x:c r="D29" s="5" t="str">
        <x:v>جمع التعليقات على تصميم أو توقيت فيديو بدل نسخ بريد متضاربة.</x:v>
      </x:c>
      <x:c r="E29" s="5" t="str">
        <x:v>مدير الحسابات</x:v>
      </x:c>
      <x:c r="F29" s="5" t="str">
        <x:v>P2</x:v>
      </x:c>
      <x:c r="G29" s="5" t="str">
        <x:v>التشغيل</x:v>
      </x:c>
      <x:c r="H29" s="5" t="str">
        <x:v>مقترح للاعتماد</x:v>
      </x:c>
      <x:c r="I29" s="5" t="str">
        <x:v>يصدر قرار موحد موثق لكل جولة مراجعة.</x:v>
      </x:c>
      <x:c r="J29" s="5" t="str">
        <x:v>هوية موحدة + بيانات مرجعية + موافقات + مالك إجراء</x:v>
      </x:c>
      <x:c r="K29" s="5" t="str">
        <x:v>داخلي / حسب المشروع</x:v>
      </x:c>
      <x:c r="L29" s="5" t="str">
        <x:v>accounts ومشاريع؛ بوابة عميل تفصيلية غير مثبتة</x:v>
      </x:c>
      <x:c r="M29" s="5" t="str">
        <x:v>بوابة 360؛ البروفايل ص7</x:v>
      </x:c>
      <x:c r="N29" s="5" t="str">
        <x:v>https://lovable.dev/projects/33b3cb53-d107-4a33-86b4-f958b21171ad</x:v>
      </x:c>
    </x:row>
    <x:row r="30" ht="78" customHeight="1">
      <x:c r="A30" s="5" t="str">
        <x:v>ACC-06</x:v>
      </x:c>
      <x:c r="B30" s="5" t="str">
        <x:v>إدارة الحسابات وتجربة العميل</x:v>
      </x:c>
      <x:c r="C30" s="5" t="str">
        <x:v>طلب التغيير</x:v>
      </x:c>
      <x:c r="D30" s="5" t="str">
        <x:v>تقدير أثر تغيير النطاق على الوقت والتكلفة والهامش.</x:v>
      </x:c>
      <x:c r="E30" s="5" t="str">
        <x:v>مدير الحسابات</x:v>
      </x:c>
      <x:c r="F30" s="5" t="str">
        <x:v>P2</x:v>
      </x:c>
      <x:c r="G30" s="5" t="str">
        <x:v>التشغيل</x:v>
      </x:c>
      <x:c r="H30" s="5" t="str">
        <x:v>مقترح للاعتماد</x:v>
      </x:c>
      <x:c r="I30" s="5" t="str">
        <x:v>لا يبدأ العمل الإضافي دون موافقة أو مسار طارئ موثق.</x:v>
      </x:c>
      <x:c r="J30" s="5" t="str">
        <x:v>هوية موحدة + بيانات مرجعية + موافقات + مالك إجراء</x:v>
      </x:c>
      <x:c r="K30" s="5" t="str">
        <x:v>داخلي / حسب المشروع</x:v>
      </x:c>
      <x:c r="L30" s="5" t="str">
        <x:v>accounts ومشاريع؛ بوابة عميل تفصيلية غير مثبتة</x:v>
      </x:c>
      <x:c r="M30" s="5" t="str">
        <x:v>بوابة 360؛ البروفايل ص7</x:v>
      </x:c>
      <x:c r="N30" s="5" t="str">
        <x:v>https://lovable.dev/projects/33b3cb53-d107-4a33-86b4-f958b21171ad</x:v>
      </x:c>
    </x:row>
    <x:row r="31" ht="78" customHeight="1">
      <x:c r="A31" s="5" t="str">
        <x:v>ACC-07</x:v>
      </x:c>
      <x:c r="B31" s="5" t="str">
        <x:v>إدارة الحسابات وتجربة العميل</x:v>
      </x:c>
      <x:c r="C31" s="5" t="str">
        <x:v>متابعة الالتزامات</x:v>
      </x:c>
      <x:c r="D31" s="5" t="str">
        <x:v>تسجيل الوعود والمواعيد والاعتماد المنتظر ومسؤول العميل.</x:v>
      </x:c>
      <x:c r="E31" s="5" t="str">
        <x:v>مدير الحسابات</x:v>
      </x:c>
      <x:c r="F31" s="5" t="str">
        <x:v>P2</x:v>
      </x:c>
      <x:c r="G31" s="5" t="str">
        <x:v>التشغيل</x:v>
      </x:c>
      <x:c r="H31" s="5" t="str">
        <x:v>مقترح للاعتماد</x:v>
      </x:c>
      <x:c r="I31" s="5" t="str">
        <x:v>التأخر يظهر بجهته المسؤولة دون اتهام تلقائي للفريق.</x:v>
      </x:c>
      <x:c r="J31" s="5" t="str">
        <x:v>هوية موحدة + بيانات مرجعية + موافقات + مالك إجراء</x:v>
      </x:c>
      <x:c r="K31" s="5" t="str">
        <x:v>داخلي / حسب المشروع</x:v>
      </x:c>
      <x:c r="L31" s="5" t="str">
        <x:v>accounts ومشاريع؛ بوابة عميل تفصيلية غير مثبتة</x:v>
      </x:c>
      <x:c r="M31" s="5" t="str">
        <x:v>بوابة 360؛ البروفايل ص7</x:v>
      </x:c>
      <x:c r="N31" s="5" t="str">
        <x:v>https://lovable.dev/projects/33b3cb53-d107-4a33-86b4-f958b21171ad</x:v>
      </x:c>
    </x:row>
    <x:row r="32" ht="78" customHeight="1">
      <x:c r="A32" s="5" t="str">
        <x:v>ACC-08</x:v>
      </x:c>
      <x:c r="B32" s="5" t="str">
        <x:v>إدارة الحسابات وتجربة العميل</x:v>
      </x:c>
      <x:c r="C32" s="5" t="str">
        <x:v>التسليم والقبول</x:v>
      </x:c>
      <x:c r="D32" s="5" t="str">
        <x:v>محضر تسليم بمخرجات وروابط وإصدار واسم المفوض.</x:v>
      </x:c>
      <x:c r="E32" s="5" t="str">
        <x:v>مدير الحسابات</x:v>
      </x:c>
      <x:c r="F32" s="5" t="str">
        <x:v>P2</x:v>
      </x:c>
      <x:c r="G32" s="5" t="str">
        <x:v>التشغيل</x:v>
      </x:c>
      <x:c r="H32" s="5" t="str">
        <x:v>مقترح للاعتماد</x:v>
      </x:c>
      <x:c r="I32" s="5" t="str">
        <x:v>لا تصبح المرحلة قابلة للفوترة دون دليل القبول المطلوب تعاقديًا.</x:v>
      </x:c>
      <x:c r="J32" s="5" t="str">
        <x:v>هوية موحدة + بيانات مرجعية + موافقات + مالك إجراء</x:v>
      </x:c>
      <x:c r="K32" s="5" t="str">
        <x:v>داخلي / حسب المشروع</x:v>
      </x:c>
      <x:c r="L32" s="5" t="str">
        <x:v>accounts ومشاريع؛ بوابة عميل تفصيلية غير مثبتة</x:v>
      </x:c>
      <x:c r="M32" s="5" t="str">
        <x:v>بوابة 360؛ البروفايل ص7</x:v>
      </x:c>
      <x:c r="N32" s="5" t="str">
        <x:v>https://lovable.dev/projects/33b3cb53-d107-4a33-86b4-f958b21171ad</x:v>
      </x:c>
    </x:row>
    <x:row r="33" ht="78" customHeight="1">
      <x:c r="A33" s="5" t="str">
        <x:v>ACC-09</x:v>
      </x:c>
      <x:c r="B33" s="5" t="str">
        <x:v>إدارة الحسابات وتجربة العميل</x:v>
      </x:c>
      <x:c r="C33" s="5" t="str">
        <x:v>صحة الحساب</x:v>
      </x:c>
      <x:c r="D33" s="5" t="str">
        <x:v>مؤشر يجمع رضا العميل والتحصيل والربحية والمخاطر المفسرة.</x:v>
      </x:c>
      <x:c r="E33" s="5" t="str">
        <x:v>مدير الحسابات</x:v>
      </x:c>
      <x:c r="F33" s="5" t="str">
        <x:v>P2</x:v>
      </x:c>
      <x:c r="G33" s="5" t="str">
        <x:v>التشغيل</x:v>
      </x:c>
      <x:c r="H33" s="5" t="str">
        <x:v>مقترح للاعتماد</x:v>
      </x:c>
      <x:c r="I33" s="5" t="str">
        <x:v>كل انخفاض في الصحة له سبب ظاهر لا درجة غامضة.</x:v>
      </x:c>
      <x:c r="J33" s="5" t="str">
        <x:v>هوية موحدة + بيانات مرجعية + موافقات + مالك إجراء</x:v>
      </x:c>
      <x:c r="K33" s="5" t="str">
        <x:v>داخلي / حسب المشروع</x:v>
      </x:c>
      <x:c r="L33" s="5" t="str">
        <x:v>accounts ومشاريع؛ بوابة عميل تفصيلية غير مثبتة</x:v>
      </x:c>
      <x:c r="M33" s="5" t="str">
        <x:v>بوابة 360؛ البروفايل ص7</x:v>
      </x:c>
      <x:c r="N33" s="5" t="str">
        <x:v>https://lovable.dev/projects/33b3cb53-d107-4a33-86b4-f958b21171ad</x:v>
      </x:c>
    </x:row>
    <x:row r="34" ht="78" customHeight="1">
      <x:c r="A34" s="5" t="str">
        <x:v>ACC-10</x:v>
      </x:c>
      <x:c r="B34" s="5" t="str">
        <x:v>إدارة الحسابات وتجربة العميل</x:v>
      </x:c>
      <x:c r="C34" s="5" t="str">
        <x:v>التجديد والتوسع</x:v>
      </x:c>
      <x:c r="D34" s="5" t="str">
        <x:v>تنبيه قبل انتهاء العقد وفرص إضافة خدمات مع سجل نتائج.</x:v>
      </x:c>
      <x:c r="E34" s="5" t="str">
        <x:v>مدير الحسابات</x:v>
      </x:c>
      <x:c r="F34" s="5" t="str">
        <x:v>P2</x:v>
      </x:c>
      <x:c r="G34" s="5" t="str">
        <x:v>التشغيل</x:v>
      </x:c>
      <x:c r="H34" s="5" t="str">
        <x:v>مقترح للاعتماد</x:v>
      </x:c>
      <x:c r="I34" s="5" t="str">
        <x:v>تتبع فرصة التجديد بالعقد الحالي وبالعرض الجديد منفصلًا.</x:v>
      </x:c>
      <x:c r="J34" s="5" t="str">
        <x:v>هوية موحدة + بيانات مرجعية + موافقات + مالك إجراء</x:v>
      </x:c>
      <x:c r="K34" s="5" t="str">
        <x:v>داخلي / حسب المشروع</x:v>
      </x:c>
      <x:c r="L34" s="5" t="str">
        <x:v>accounts ومشاريع؛ بوابة عميل تفصيلية غير مثبتة</x:v>
      </x:c>
      <x:c r="M34" s="5" t="str">
        <x:v>بوابة 360؛ البروفايل ص7</x:v>
      </x:c>
      <x:c r="N34" s="5" t="str">
        <x:v>https://lovable.dev/projects/33b3cb53-d107-4a33-86b4-f958b21171ad</x:v>
      </x:c>
    </x:row>
    <x:row r="35" ht="78" customHeight="1">
      <x:c r="A35" s="5" t="str">
        <x:v>PMO-01</x:v>
      </x:c>
      <x:c r="B35" s="5" t="str">
        <x:v>المشاريع والموارد</x:v>
      </x:c>
      <x:c r="C35" s="5" t="str">
        <x:v>هيكل المشروع</x:v>
      </x:c>
      <x:c r="D35" s="5" t="str">
        <x:v>تقسيم المشروع إلى مراحل وحملات ومخرجات وحزم عمل ومهام.</x:v>
      </x:c>
      <x:c r="E35" s="5" t="str">
        <x:v>مدير المشاريع / PMO</x:v>
      </x:c>
      <x:c r="F35" s="5" t="str">
        <x:v>P1</x:v>
      </x:c>
      <x:c r="G35" s="5" t="str">
        <x:v>التشغيل</x:v>
      </x:c>
      <x:c r="H35" s="5" t="str">
        <x:v>مقترح للاعتماد</x:v>
      </x:c>
      <x:c r="I35" s="5" t="str">
        <x:v>لكل مهمة مشروع ومالك وموعد ومعيار قبول.</x:v>
      </x:c>
      <x:c r="J35" s="5" t="str">
        <x:v>هوية موحدة + بيانات مرجعية + موافقات + مالك إجراء</x:v>
      </x:c>
      <x:c r="K35" s="5" t="str">
        <x:v>داخلي / حسب المشروع</x:v>
      </x:c>
      <x:c r="L35" s="5" t="str">
        <x:v>جداول مشاريع ومهام وساعات ومخرجات؛ الضبط المالي يحتاج تأهيلًا</x:v>
      </x:c>
      <x:c r="M35" s="5" t="str">
        <x:v>بوابة 360: projects/tasks/time_entries/deliverables</x:v>
      </x:c>
      <x:c r="N35" s="5" t="str">
        <x:v>https://lovable.dev/projects/33b3cb53-d107-4a33-86b4-f958b21171ad</x:v>
      </x:c>
    </x:row>
    <x:row r="36" ht="78" customHeight="1">
      <x:c r="A36" s="5" t="str">
        <x:v>PMO-02</x:v>
      </x:c>
      <x:c r="B36" s="5" t="str">
        <x:v>المشاريع والموارد</x:v>
      </x:c>
      <x:c r="C36" s="5" t="str">
        <x:v>الخطة المرجعية</x:v>
      </x:c>
      <x:c r="D36" s="5" t="str">
        <x:v>حفظ خط أساس للنطاق والجدول والميزانية بعد الاعتماد.</x:v>
      </x:c>
      <x:c r="E36" s="5" t="str">
        <x:v>مدير المشاريع / PMO</x:v>
      </x:c>
      <x:c r="F36" s="5" t="str">
        <x:v>P1</x:v>
      </x:c>
      <x:c r="G36" s="5" t="str">
        <x:v>التشغيل</x:v>
      </x:c>
      <x:c r="H36" s="5" t="str">
        <x:v>مقترح للاعتماد</x:v>
      </x:c>
      <x:c r="I36" s="5" t="str">
        <x:v>أي تعديل ينتج إصدارًا وفارقًا عن خط الأساس.</x:v>
      </x:c>
      <x:c r="J36" s="5" t="str">
        <x:v>هوية موحدة + بيانات مرجعية + موافقات + مالك إجراء</x:v>
      </x:c>
      <x:c r="K36" s="5" t="str">
        <x:v>داخلي / حسب المشروع</x:v>
      </x:c>
      <x:c r="L36" s="5" t="str">
        <x:v>جداول مشاريع ومهام وساعات ومخرجات؛ الضبط المالي يحتاج تأهيلًا</x:v>
      </x:c>
      <x:c r="M36" s="5" t="str">
        <x:v>بوابة 360: projects/tasks/time_entries/deliverables</x:v>
      </x:c>
      <x:c r="N36" s="5" t="str">
        <x:v>https://lovable.dev/projects/33b3cb53-d107-4a33-86b4-f958b21171ad</x:v>
      </x:c>
    </x:row>
    <x:row r="37" ht="78" customHeight="1">
      <x:c r="A37" s="5" t="str">
        <x:v>PMO-03</x:v>
      </x:c>
      <x:c r="B37" s="5" t="str">
        <x:v>المشاريع والموارد</x:v>
      </x:c>
      <x:c r="C37" s="5" t="str">
        <x:v>الاعتماديات</x:v>
      </x:c>
      <x:c r="D37" s="5" t="str">
        <x:v>تحديد المهام السابقة واللاحقة والعوائق والمهام الحرجة.</x:v>
      </x:c>
      <x:c r="E37" s="5" t="str">
        <x:v>مدير المشاريع / PMO</x:v>
      </x:c>
      <x:c r="F37" s="5" t="str">
        <x:v>P1</x:v>
      </x:c>
      <x:c r="G37" s="5" t="str">
        <x:v>التشغيل</x:v>
      </x:c>
      <x:c r="H37" s="5" t="str">
        <x:v>مقترح للاعتماد</x:v>
      </x:c>
      <x:c r="I37" s="5" t="str">
        <x:v>تحريك مهمة حرجة يظهر أثره على تاريخ التسليم.</x:v>
      </x:c>
      <x:c r="J37" s="5" t="str">
        <x:v>هوية موحدة + بيانات مرجعية + موافقات + مالك إجراء</x:v>
      </x:c>
      <x:c r="K37" s="5" t="str">
        <x:v>داخلي / حسب المشروع</x:v>
      </x:c>
      <x:c r="L37" s="5" t="str">
        <x:v>جداول مشاريع ومهام وساعات ومخرجات؛ الضبط المالي يحتاج تأهيلًا</x:v>
      </x:c>
      <x:c r="M37" s="5" t="str">
        <x:v>بوابة 360: projects/tasks/time_entries/deliverables</x:v>
      </x:c>
      <x:c r="N37" s="5" t="str">
        <x:v>https://lovable.dev/projects/33b3cb53-d107-4a33-86b4-f958b21171ad</x:v>
      </x:c>
    </x:row>
    <x:row r="38" ht="78" customHeight="1">
      <x:c r="A38" s="5" t="str">
        <x:v>PMO-04</x:v>
      </x:c>
      <x:c r="B38" s="5" t="str">
        <x:v>المشاريع والموارد</x:v>
      </x:c>
      <x:c r="C38" s="5" t="str">
        <x:v>تخطيط الطاقة</x:v>
      </x:c>
      <x:c r="D38" s="5" t="str">
        <x:v>حساب سعة الموظف الفعلية بعد الإجازات والتدريب والإسنادات.</x:v>
      </x:c>
      <x:c r="E38" s="5" t="str">
        <x:v>مدير المشاريع / PMO</x:v>
      </x:c>
      <x:c r="F38" s="5" t="str">
        <x:v>P1</x:v>
      </x:c>
      <x:c r="G38" s="5" t="str">
        <x:v>التشغيل</x:v>
      </x:c>
      <x:c r="H38" s="5" t="str">
        <x:v>مقترح للاعتماد</x:v>
      </x:c>
      <x:c r="I38" s="5" t="str">
        <x:v>لا يخفى تضارب حجز المورد بين مشروعين.</x:v>
      </x:c>
      <x:c r="J38" s="5" t="str">
        <x:v>هوية موحدة + بيانات مرجعية + موافقات + مالك إجراء</x:v>
      </x:c>
      <x:c r="K38" s="5" t="str">
        <x:v>داخلي / حسب المشروع</x:v>
      </x:c>
      <x:c r="L38" s="5" t="str">
        <x:v>جداول مشاريع ومهام وساعات ومخرجات؛ الضبط المالي يحتاج تأهيلًا</x:v>
      </x:c>
      <x:c r="M38" s="5" t="str">
        <x:v>بوابة 360: projects/tasks/time_entries/deliverables</x:v>
      </x:c>
      <x:c r="N38" s="5" t="str">
        <x:v>https://lovable.dev/projects/33b3cb53-d107-4a33-86b4-f958b21171ad</x:v>
      </x:c>
    </x:row>
    <x:row r="39" ht="78" customHeight="1">
      <x:c r="A39" s="5" t="str">
        <x:v>PMO-05</x:v>
      </x:c>
      <x:c r="B39" s="5" t="str">
        <x:v>المشاريع والموارد</x:v>
      </x:c>
      <x:c r="C39" s="5" t="str">
        <x:v>إدارة الإسناد</x:v>
      </x:c>
      <x:c r="D39" s="5" t="str">
        <x:v>طلب مورد ثم موافقة مدير الإدارة وتأكيد مدير المشروع.</x:v>
      </x:c>
      <x:c r="E39" s="5" t="str">
        <x:v>مدير المشاريع / PMO</x:v>
      </x:c>
      <x:c r="F39" s="5" t="str">
        <x:v>P2</x:v>
      </x:c>
      <x:c r="G39" s="5" t="str">
        <x:v>التشغيل</x:v>
      </x:c>
      <x:c r="H39" s="5" t="str">
        <x:v>مقترح للاعتماد</x:v>
      </x:c>
      <x:c r="I39" s="5" t="str">
        <x:v>إسناد موظف خارج الإدارة يتبع مسار السلطة المصفوفية.</x:v>
      </x:c>
      <x:c r="J39" s="5" t="str">
        <x:v>هوية موحدة + بيانات مرجعية + موافقات + مالك إجراء</x:v>
      </x:c>
      <x:c r="K39" s="5" t="str">
        <x:v>داخلي / حسب المشروع</x:v>
      </x:c>
      <x:c r="L39" s="5" t="str">
        <x:v>جداول مشاريع ومهام وساعات ومخرجات؛ الضبط المالي يحتاج تأهيلًا</x:v>
      </x:c>
      <x:c r="M39" s="5" t="str">
        <x:v>بوابة 360: projects/tasks/time_entries/deliverables</x:v>
      </x:c>
      <x:c r="N39" s="5" t="str">
        <x:v>https://lovable.dev/projects/33b3cb53-d107-4a33-86b4-f958b21171ad</x:v>
      </x:c>
    </x:row>
    <x:row r="40" ht="78" customHeight="1">
      <x:c r="A40" s="5" t="str">
        <x:v>PMO-06</x:v>
      </x:c>
      <x:c r="B40" s="5" t="str">
        <x:v>المشاريع والموارد</x:v>
      </x:c>
      <x:c r="C40" s="5" t="str">
        <x:v>ساعات العمل</x:v>
      </x:c>
      <x:c r="D40" s="5" t="str">
        <x:v>سجل ساعات billable وغير billable وربطه بالمخرج مع اعتماد.</x:v>
      </x:c>
      <x:c r="E40" s="5" t="str">
        <x:v>مدير المشاريع / PMO</x:v>
      </x:c>
      <x:c r="F40" s="5" t="str">
        <x:v>P2</x:v>
      </x:c>
      <x:c r="G40" s="5" t="str">
        <x:v>التشغيل</x:v>
      </x:c>
      <x:c r="H40" s="5" t="str">
        <x:v>مقترح للاعتماد</x:v>
      </x:c>
      <x:c r="I40" s="5" t="str">
        <x:v>لا يعدل سجل معتمد في فترة مقفلة دون تسوية موثقة.</x:v>
      </x:c>
      <x:c r="J40" s="5" t="str">
        <x:v>هوية موحدة + بيانات مرجعية + موافقات + مالك إجراء</x:v>
      </x:c>
      <x:c r="K40" s="5" t="str">
        <x:v>داخلي / حسب المشروع</x:v>
      </x:c>
      <x:c r="L40" s="5" t="str">
        <x:v>جداول مشاريع ومهام وساعات ومخرجات؛ الضبط المالي يحتاج تأهيلًا</x:v>
      </x:c>
      <x:c r="M40" s="5" t="str">
        <x:v>بوابة 360: projects/tasks/time_entries/deliverables</x:v>
      </x:c>
      <x:c r="N40" s="5" t="str">
        <x:v>https://lovable.dev/projects/33b3cb53-d107-4a33-86b4-f958b21171ad</x:v>
      </x:c>
    </x:row>
    <x:row r="41" ht="78" customHeight="1">
      <x:c r="A41" s="5" t="str">
        <x:v>PMO-07</x:v>
      </x:c>
      <x:c r="B41" s="5" t="str">
        <x:v>المشاريع والموارد</x:v>
      </x:c>
      <x:c r="C41" s="5" t="str">
        <x:v>التكلفة المتوقعة</x:v>
      </x:c>
      <x:c r="D41" s="5" t="str">
        <x:v>عرض المصروف والالتزام والمتبقي والتكلفة المتوقعة للإكمال.</x:v>
      </x:c>
      <x:c r="E41" s="5" t="str">
        <x:v>مدير المشاريع / PMO</x:v>
      </x:c>
      <x:c r="F41" s="5" t="str">
        <x:v>P2</x:v>
      </x:c>
      <x:c r="G41" s="5" t="str">
        <x:v>التشغيل</x:v>
      </x:c>
      <x:c r="H41" s="5" t="str">
        <x:v>مقترح للاعتماد</x:v>
      </x:c>
      <x:c r="I41" s="5" t="str">
        <x:v>لا تخصم فاتورة المورد والالتزام الأصلي مرتين من الهامش.</x:v>
      </x:c>
      <x:c r="J41" s="5" t="str">
        <x:v>هوية موحدة + بيانات مرجعية + موافقات + مالك إجراء</x:v>
      </x:c>
      <x:c r="K41" s="5" t="str">
        <x:v>داخلي / حسب المشروع</x:v>
      </x:c>
      <x:c r="L41" s="5" t="str">
        <x:v>جداول مشاريع ومهام وساعات ومخرجات؛ الضبط المالي يحتاج تأهيلًا</x:v>
      </x:c>
      <x:c r="M41" s="5" t="str">
        <x:v>بوابة 360: projects/tasks/time_entries/deliverables</x:v>
      </x:c>
      <x:c r="N41" s="5" t="str">
        <x:v>https://lovable.dev/projects/33b3cb53-d107-4a33-86b4-f958b21171ad</x:v>
      </x:c>
    </x:row>
    <x:row r="42" ht="78" customHeight="1">
      <x:c r="A42" s="5" t="str">
        <x:v>PMO-08</x:v>
      </x:c>
      <x:c r="B42" s="5" t="str">
        <x:v>المشاريع والموارد</x:v>
      </x:c>
      <x:c r="C42" s="5" t="str">
        <x:v>المخاطر والتصعيد</x:v>
      </x:c>
      <x:c r="D42" s="5" t="str">
        <x:v>إدارة العوائق والتصعيد حسب الأثر والمسؤولية.</x:v>
      </x:c>
      <x:c r="E42" s="5" t="str">
        <x:v>مدير المشاريع / PMO</x:v>
      </x:c>
      <x:c r="F42" s="5" t="str">
        <x:v>P2</x:v>
      </x:c>
      <x:c r="G42" s="5" t="str">
        <x:v>التشغيل</x:v>
      </x:c>
      <x:c r="H42" s="5" t="str">
        <x:v>مقترح للاعتماد</x:v>
      </x:c>
      <x:c r="I42" s="5" t="str">
        <x:v>العائق المتجاوز مهلة الاستجابة يصل للمالك التالي فقط.</x:v>
      </x:c>
      <x:c r="J42" s="5" t="str">
        <x:v>هوية موحدة + بيانات مرجعية + موافقات + مالك إجراء</x:v>
      </x:c>
      <x:c r="K42" s="5" t="str">
        <x:v>داخلي / حسب المشروع</x:v>
      </x:c>
      <x:c r="L42" s="5" t="str">
        <x:v>جداول مشاريع ومهام وساعات ومخرجات؛ الضبط المالي يحتاج تأهيلًا</x:v>
      </x:c>
      <x:c r="M42" s="5" t="str">
        <x:v>بوابة 360: projects/tasks/time_entries/deliverables</x:v>
      </x:c>
      <x:c r="N42" s="5" t="str">
        <x:v>https://lovable.dev/projects/33b3cb53-d107-4a33-86b4-f958b21171ad</x:v>
      </x:c>
    </x:row>
    <x:row r="43" ht="78" customHeight="1">
      <x:c r="A43" s="5" t="str">
        <x:v>PMO-09</x:v>
      </x:c>
      <x:c r="B43" s="5" t="str">
        <x:v>المشاريع والموارد</x:v>
      </x:c>
      <x:c r="C43" s="5" t="str">
        <x:v>التسليم والإقفال</x:v>
      </x:c>
      <x:c r="D43" s="5" t="str">
        <x:v>إقفال المشروع بعد القبول والتكاليف والعهد والدروس والأرشفة.</x:v>
      </x:c>
      <x:c r="E43" s="5" t="str">
        <x:v>مدير المشاريع / PMO</x:v>
      </x:c>
      <x:c r="F43" s="5" t="str">
        <x:v>P2</x:v>
      </x:c>
      <x:c r="G43" s="5" t="str">
        <x:v>التشغيل</x:v>
      </x:c>
      <x:c r="H43" s="5" t="str">
        <x:v>مقترح للاعتماد</x:v>
      </x:c>
      <x:c r="I43" s="5" t="str">
        <x:v>لا يغلق مشروع لديه فاتورة معلقة أو عهدة بلا قرار.</x:v>
      </x:c>
      <x:c r="J43" s="5" t="str">
        <x:v>هوية موحدة + بيانات مرجعية + موافقات + مالك إجراء</x:v>
      </x:c>
      <x:c r="K43" s="5" t="str">
        <x:v>داخلي / حسب المشروع</x:v>
      </x:c>
      <x:c r="L43" s="5" t="str">
        <x:v>جداول مشاريع ومهام وساعات ومخرجات؛ الضبط المالي يحتاج تأهيلًا</x:v>
      </x:c>
      <x:c r="M43" s="5" t="str">
        <x:v>بوابة 360: projects/tasks/time_entries/deliverables</x:v>
      </x:c>
      <x:c r="N43" s="5" t="str">
        <x:v>https://lovable.dev/projects/33b3cb53-d107-4a33-86b4-f958b21171ad</x:v>
      </x:c>
    </x:row>
    <x:row r="44" ht="78" customHeight="1">
      <x:c r="A44" s="5" t="str">
        <x:v>PMO-10</x:v>
      </x:c>
      <x:c r="B44" s="5" t="str">
        <x:v>المشاريع والموارد</x:v>
      </x:c>
      <x:c r="C44" s="5" t="str">
        <x:v>أنواع العقود التشغيلية</x:v>
      </x:c>
      <x:c r="D44" s="5" t="str">
        <x:v>دعم حملة واحدة وعقد اشتراك شهري ومشروع وقت ومواد.</x:v>
      </x:c>
      <x:c r="E44" s="5" t="str">
        <x:v>مدير المشاريع / PMO</x:v>
      </x:c>
      <x:c r="F44" s="5" t="str">
        <x:v>P2</x:v>
      </x:c>
      <x:c r="G44" s="5" t="str">
        <x:v>التشغيل</x:v>
      </x:c>
      <x:c r="H44" s="5" t="str">
        <x:v>مقترح للاعتماد</x:v>
      </x:c>
      <x:c r="I44" s="5" t="str">
        <x:v>يمكن تتبع المستهلك والمتبقي حسب نوع العقد دون خلط.</x:v>
      </x:c>
      <x:c r="J44" s="5" t="str">
        <x:v>هوية موحدة + بيانات مرجعية + موافقات + مالك إجراء</x:v>
      </x:c>
      <x:c r="K44" s="5" t="str">
        <x:v>داخلي / حسب المشروع</x:v>
      </x:c>
      <x:c r="L44" s="5" t="str">
        <x:v>جداول مشاريع ومهام وساعات ومخرجات؛ الضبط المالي يحتاج تأهيلًا</x:v>
      </x:c>
      <x:c r="M44" s="5" t="str">
        <x:v>بوابة 360: projects/tasks/time_entries/deliverables</x:v>
      </x:c>
      <x:c r="N44" s="5" t="str">
        <x:v>https://lovable.dev/projects/33b3cb53-d107-4a33-86b4-f958b21171ad</x:v>
      </x:c>
    </x:row>
    <x:row r="45" ht="78" customHeight="1">
      <x:c r="A45" s="5" t="str">
        <x:v>STR-01</x:v>
      </x:c>
      <x:c r="B45" s="5" t="str">
        <x:v>الإستراتيجية والبحث</x:v>
      </x:c>
      <x:c r="C45" s="5" t="str">
        <x:v>طلب البحث</x:v>
      </x:c>
      <x:c r="D45" s="5" t="str">
        <x:v>تحديد سؤال البحث وقرار الأعمال والفرضية ونطاق المنافسين.</x:v>
      </x:c>
      <x:c r="E45" s="5" t="str">
        <x:v>مدير الإستراتيجية</x:v>
      </x:c>
      <x:c r="F45" s="5" t="str">
        <x:v>P1</x:v>
      </x:c>
      <x:c r="G45" s="5" t="str">
        <x:v>التخصصات</x:v>
      </x:c>
      <x:c r="H45" s="5" t="str">
        <x:v>مقترح للاعتماد</x:v>
      </x:c>
      <x:c r="I45" s="5" t="str">
        <x:v>لا يبدأ البحث دون سؤال ومخرج وتاريخ صلاحية.</x:v>
      </x:c>
      <x:c r="J45" s="5" t="str">
        <x:v>هوية موحدة + بيانات مرجعية + موافقات + مالك إجراء</x:v>
      </x:c>
      <x:c r="K45" s="5" t="str">
        <x:v>داخلي / حسب المشروع</x:v>
      </x:c>
      <x:c r="L45" s="5" t="str">
        <x:v>خدمة مؤكدة في البروفايل؛ وحدة متخصصة غير مثبتة</x:v>
      </x:c>
      <x:c r="M45" s="5" t="str">
        <x:v>البروفايل ص7</x:v>
      </x:c>
      <x:c r="N45" s="5" t="str">
        <x:v>https://drive.google.com/file/d/1tpDQzQsDgzfT8XoFyGsH8ZkER23eKO40/view</x:v>
      </x:c>
    </x:row>
    <x:row r="46" ht="78" customHeight="1">
      <x:c r="A46" s="5" t="str">
        <x:v>STR-02</x:v>
      </x:c>
      <x:c r="B46" s="5" t="str">
        <x:v>الإستراتيجية والبحث</x:v>
      </x:c>
      <x:c r="C46" s="5" t="str">
        <x:v>مصادر المعلومات</x:v>
      </x:c>
      <x:c r="D46" s="5" t="str">
        <x:v>حفظ المصدر وتاريخه وحقوق استعماله ومستوى موثوقيته.</x:v>
      </x:c>
      <x:c r="E46" s="5" t="str">
        <x:v>مدير الإستراتيجية</x:v>
      </x:c>
      <x:c r="F46" s="5" t="str">
        <x:v>P1</x:v>
      </x:c>
      <x:c r="G46" s="5" t="str">
        <x:v>التخصصات</x:v>
      </x:c>
      <x:c r="H46" s="5" t="str">
        <x:v>مقترح للاعتماد</x:v>
      </x:c>
      <x:c r="I46" s="5" t="str">
        <x:v>كل حقيقة في العرض قابلة للرجوع إلى المصدر.</x:v>
      </x:c>
      <x:c r="J46" s="5" t="str">
        <x:v>هوية موحدة + بيانات مرجعية + موافقات + مالك إجراء</x:v>
      </x:c>
      <x:c r="K46" s="5" t="str">
        <x:v>داخلي / حسب المشروع</x:v>
      </x:c>
      <x:c r="L46" s="5" t="str">
        <x:v>خدمة مؤكدة في البروفايل؛ وحدة متخصصة غير مثبتة</x:v>
      </x:c>
      <x:c r="M46" s="5" t="str">
        <x:v>البروفايل ص7</x:v>
      </x:c>
      <x:c r="N46" s="5" t="str">
        <x:v>https://drive.google.com/file/d/1tpDQzQsDgzfT8XoFyGsH8ZkER23eKO40/view</x:v>
      </x:c>
    </x:row>
    <x:row r="47" ht="78" customHeight="1">
      <x:c r="A47" s="5" t="str">
        <x:v>STR-03</x:v>
      </x:c>
      <x:c r="B47" s="5" t="str">
        <x:v>الإستراتيجية والبحث</x:v>
      </x:c>
      <x:c r="C47" s="5" t="str">
        <x:v>فهم الجمهور</x:v>
      </x:c>
      <x:c r="D47" s="5" t="str">
        <x:v>شرائح واحتياجات ورحلة عميل مرتبطة بأدلة لا افتراضات مخفية.</x:v>
      </x:c>
      <x:c r="E47" s="5" t="str">
        <x:v>مدير الإستراتيجية</x:v>
      </x:c>
      <x:c r="F47" s="5" t="str">
        <x:v>P1</x:v>
      </x:c>
      <x:c r="G47" s="5" t="str">
        <x:v>التخصصات</x:v>
      </x:c>
      <x:c r="H47" s="5" t="str">
        <x:v>مقترح للاعتماد</x:v>
      </x:c>
      <x:c r="I47" s="5" t="str">
        <x:v>الافتراضات مميزة عن نتائج البحوث.</x:v>
      </x:c>
      <x:c r="J47" s="5" t="str">
        <x:v>هوية موحدة + بيانات مرجعية + موافقات + مالك إجراء</x:v>
      </x:c>
      <x:c r="K47" s="5" t="str">
        <x:v>داخلي / حسب المشروع</x:v>
      </x:c>
      <x:c r="L47" s="5" t="str">
        <x:v>خدمة مؤكدة في البروفايل؛ وحدة متخصصة غير مثبتة</x:v>
      </x:c>
      <x:c r="M47" s="5" t="str">
        <x:v>البروفايل ص7</x:v>
      </x:c>
      <x:c r="N47" s="5" t="str">
        <x:v>https://drive.google.com/file/d/1tpDQzQsDgzfT8XoFyGsH8ZkER23eKO40/view</x:v>
      </x:c>
    </x:row>
    <x:row r="48" ht="78" customHeight="1">
      <x:c r="A48" s="5" t="str">
        <x:v>STR-04</x:v>
      </x:c>
      <x:c r="B48" s="5" t="str">
        <x:v>الإستراتيجية والبحث</x:v>
      </x:c>
      <x:c r="C48" s="5" t="str">
        <x:v>تحليل المنافسة</x:v>
      </x:c>
      <x:c r="D48" s="5" t="str">
        <x:v>مصفوفة منافسين ورسائل وتموضع وفرص تميّز.</x:v>
      </x:c>
      <x:c r="E48" s="5" t="str">
        <x:v>مدير الإستراتيجية</x:v>
      </x:c>
      <x:c r="F48" s="5" t="str">
        <x:v>P1</x:v>
      </x:c>
      <x:c r="G48" s="5" t="str">
        <x:v>التخصصات</x:v>
      </x:c>
      <x:c r="H48" s="5" t="str">
        <x:v>مقترح للاعتماد</x:v>
      </x:c>
      <x:c r="I48" s="5" t="str">
        <x:v>لا تعرض بيانات قديمة دون تاريخ جمعها.</x:v>
      </x:c>
      <x:c r="J48" s="5" t="str">
        <x:v>هوية موحدة + بيانات مرجعية + موافقات + مالك إجراء</x:v>
      </x:c>
      <x:c r="K48" s="5" t="str">
        <x:v>داخلي / حسب المشروع</x:v>
      </x:c>
      <x:c r="L48" s="5" t="str">
        <x:v>خدمة مؤكدة في البروفايل؛ وحدة متخصصة غير مثبتة</x:v>
      </x:c>
      <x:c r="M48" s="5" t="str">
        <x:v>البروفايل ص7</x:v>
      </x:c>
      <x:c r="N48" s="5" t="str">
        <x:v>https://drive.google.com/file/d/1tpDQzQsDgzfT8XoFyGsH8ZkER23eKO40/view</x:v>
      </x:c>
    </x:row>
    <x:row r="49" ht="78" customHeight="1">
      <x:c r="A49" s="5" t="str">
        <x:v>STR-05</x:v>
      </x:c>
      <x:c r="B49" s="5" t="str">
        <x:v>الإستراتيجية والبحث</x:v>
      </x:c>
      <x:c r="C49" s="5" t="str">
        <x:v>الرسائل والتموضع</x:v>
      </x:c>
      <x:c r="D49" s="5" t="str">
        <x:v>صياغة الرسالة الرئيسية والرسائل الفرعية والمحظورات.</x:v>
      </x:c>
      <x:c r="E49" s="5" t="str">
        <x:v>مدير الإستراتيجية</x:v>
      </x:c>
      <x:c r="F49" s="5" t="str">
        <x:v>P2</x:v>
      </x:c>
      <x:c r="G49" s="5" t="str">
        <x:v>التخصصات</x:v>
      </x:c>
      <x:c r="H49" s="5" t="str">
        <x:v>مقترح للاعتماد</x:v>
      </x:c>
      <x:c r="I49" s="5" t="str">
        <x:v>اعتماد العميل يربط بإصدار الرسائل المستخدم في التنفيذ.</x:v>
      </x:c>
      <x:c r="J49" s="5" t="str">
        <x:v>هوية موحدة + بيانات مرجعية + موافقات + مالك إجراء</x:v>
      </x:c>
      <x:c r="K49" s="5" t="str">
        <x:v>داخلي / حسب المشروع</x:v>
      </x:c>
      <x:c r="L49" s="5" t="str">
        <x:v>خدمة مؤكدة في البروفايل؛ وحدة متخصصة غير مثبتة</x:v>
      </x:c>
      <x:c r="M49" s="5" t="str">
        <x:v>البروفايل ص7</x:v>
      </x:c>
      <x:c r="N49" s="5" t="str">
        <x:v>https://drive.google.com/file/d/1tpDQzQsDgzfT8XoFyGsH8ZkER23eKO40/view</x:v>
      </x:c>
    </x:row>
    <x:row r="50" ht="78" customHeight="1">
      <x:c r="A50" s="5" t="str">
        <x:v>STR-06</x:v>
      </x:c>
      <x:c r="B50" s="5" t="str">
        <x:v>الإستراتيجية والبحث</x:v>
      </x:c>
      <x:c r="C50" s="5" t="str">
        <x:v>أهداف الحملة</x:v>
      </x:c>
      <x:c r="D50" s="5" t="str">
        <x:v>تعريف النتائج المستهدفة ومؤشرات القياس وطريقة جمعها.</x:v>
      </x:c>
      <x:c r="E50" s="5" t="str">
        <x:v>مدير الإستراتيجية</x:v>
      </x:c>
      <x:c r="F50" s="5" t="str">
        <x:v>P2</x:v>
      </x:c>
      <x:c r="G50" s="5" t="str">
        <x:v>التخصصات</x:v>
      </x:c>
      <x:c r="H50" s="5" t="str">
        <x:v>مقترح للاعتماد</x:v>
      </x:c>
      <x:c r="I50" s="5" t="str">
        <x:v>لا يساوى الوصول أو المشاهدة تلقائيًا بالأثر التجاري.</x:v>
      </x:c>
      <x:c r="J50" s="5" t="str">
        <x:v>هوية موحدة + بيانات مرجعية + موافقات + مالك إجراء</x:v>
      </x:c>
      <x:c r="K50" s="5" t="str">
        <x:v>داخلي / حسب المشروع</x:v>
      </x:c>
      <x:c r="L50" s="5" t="str">
        <x:v>خدمة مؤكدة في البروفايل؛ وحدة متخصصة غير مثبتة</x:v>
      </x:c>
      <x:c r="M50" s="5" t="str">
        <x:v>البروفايل ص7</x:v>
      </x:c>
      <x:c r="N50" s="5" t="str">
        <x:v>https://drive.google.com/file/d/1tpDQzQsDgzfT8XoFyGsH8ZkER23eKO40/view</x:v>
      </x:c>
    </x:row>
    <x:row r="51" ht="78" customHeight="1">
      <x:c r="A51" s="5" t="str">
        <x:v>STR-07</x:v>
      </x:c>
      <x:c r="B51" s="5" t="str">
        <x:v>الإستراتيجية والبحث</x:v>
      </x:c>
      <x:c r="C51" s="5" t="str">
        <x:v>خطة القنوات</x:v>
      </x:c>
      <x:c r="D51" s="5" t="str">
        <x:v>ربط الجمهور والقناة والرسالة والميزانية والفرضية.</x:v>
      </x:c>
      <x:c r="E51" s="5" t="str">
        <x:v>مدير الإستراتيجية</x:v>
      </x:c>
      <x:c r="F51" s="5" t="str">
        <x:v>P2</x:v>
      </x:c>
      <x:c r="G51" s="5" t="str">
        <x:v>التخصصات</x:v>
      </x:c>
      <x:c r="H51" s="5" t="str">
        <x:v>مقترح للاعتماد</x:v>
      </x:c>
      <x:c r="I51" s="5" t="str">
        <x:v>تغيير الميزانية يوثق أثره على الخطة المعتمدة.</x:v>
      </x:c>
      <x:c r="J51" s="5" t="str">
        <x:v>هوية موحدة + بيانات مرجعية + موافقات + مالك إجراء</x:v>
      </x:c>
      <x:c r="K51" s="5" t="str">
        <x:v>داخلي / حسب المشروع</x:v>
      </x:c>
      <x:c r="L51" s="5" t="str">
        <x:v>خدمة مؤكدة في البروفايل؛ وحدة متخصصة غير مثبتة</x:v>
      </x:c>
      <x:c r="M51" s="5" t="str">
        <x:v>البروفايل ص7</x:v>
      </x:c>
      <x:c r="N51" s="5" t="str">
        <x:v>https://drive.google.com/file/d/1tpDQzQsDgzfT8XoFyGsH8ZkER23eKO40/view</x:v>
      </x:c>
    </x:row>
    <x:row r="52" ht="78" customHeight="1">
      <x:c r="A52" s="5" t="str">
        <x:v>STR-08</x:v>
      </x:c>
      <x:c r="B52" s="5" t="str">
        <x:v>الإستراتيجية والبحث</x:v>
      </x:c>
      <x:c r="C52" s="5" t="str">
        <x:v>التكليف الإبداعي</x:v>
      </x:c>
      <x:c r="D52" s="5" t="str">
        <x:v>تسليم brief إبداعي موحد للفريق الفني والمحتوى.</x:v>
      </x:c>
      <x:c r="E52" s="5" t="str">
        <x:v>مدير الإستراتيجية</x:v>
      </x:c>
      <x:c r="F52" s="5" t="str">
        <x:v>P2</x:v>
      </x:c>
      <x:c r="G52" s="5" t="str">
        <x:v>التخصصات</x:v>
      </x:c>
      <x:c r="H52" s="5" t="str">
        <x:v>مقترح للاعتماد</x:v>
      </x:c>
      <x:c r="I52" s="5" t="str">
        <x:v>لا تتعارض النسخة المستخدمة بين الإدارات.</x:v>
      </x:c>
      <x:c r="J52" s="5" t="str">
        <x:v>هوية موحدة + بيانات مرجعية + موافقات + مالك إجراء</x:v>
      </x:c>
      <x:c r="K52" s="5" t="str">
        <x:v>داخلي / حسب المشروع</x:v>
      </x:c>
      <x:c r="L52" s="5" t="str">
        <x:v>خدمة مؤكدة في البروفايل؛ وحدة متخصصة غير مثبتة</x:v>
      </x:c>
      <x:c r="M52" s="5" t="str">
        <x:v>البروفايل ص7</x:v>
      </x:c>
      <x:c r="N52" s="5" t="str">
        <x:v>https://drive.google.com/file/d/1tpDQzQsDgzfT8XoFyGsH8ZkER23eKO40/view</x:v>
      </x:c>
    </x:row>
    <x:row r="53" ht="78" customHeight="1">
      <x:c r="A53" s="5" t="str">
        <x:v>STR-09</x:v>
      </x:c>
      <x:c r="B53" s="5" t="str">
        <x:v>الإستراتيجية والبحث</x:v>
      </x:c>
      <x:c r="C53" s="5" t="str">
        <x:v>مراجعة الإستراتيجية</x:v>
      </x:c>
      <x:c r="D53" s="5" t="str">
        <x:v>بوابة مراجعة قبل التنفيذ وتوثيق البدائل المرفوضة.</x:v>
      </x:c>
      <x:c r="E53" s="5" t="str">
        <x:v>مدير الإستراتيجية</x:v>
      </x:c>
      <x:c r="F53" s="5" t="str">
        <x:v>P2</x:v>
      </x:c>
      <x:c r="G53" s="5" t="str">
        <x:v>التخصصات</x:v>
      </x:c>
      <x:c r="H53" s="5" t="str">
        <x:v>مقترح للاعتماد</x:v>
      </x:c>
      <x:c r="I53" s="5" t="str">
        <x:v>يوجد اعتماد مفوض ورسائل محظورة واضحة.</x:v>
      </x:c>
      <x:c r="J53" s="5" t="str">
        <x:v>هوية موحدة + بيانات مرجعية + موافقات + مالك إجراء</x:v>
      </x:c>
      <x:c r="K53" s="5" t="str">
        <x:v>داخلي / حسب المشروع</x:v>
      </x:c>
      <x:c r="L53" s="5" t="str">
        <x:v>خدمة مؤكدة في البروفايل؛ وحدة متخصصة غير مثبتة</x:v>
      </x:c>
      <x:c r="M53" s="5" t="str">
        <x:v>البروفايل ص7</x:v>
      </x:c>
      <x:c r="N53" s="5" t="str">
        <x:v>https://drive.google.com/file/d/1tpDQzQsDgzfT8XoFyGsH8ZkER23eKO40/view</x:v>
      </x:c>
    </x:row>
    <x:row r="54" ht="78" customHeight="1">
      <x:c r="A54" s="5" t="str">
        <x:v>STR-10</x:v>
      </x:c>
      <x:c r="B54" s="5" t="str">
        <x:v>الإستراتيجية والبحث</x:v>
      </x:c>
      <x:c r="C54" s="5" t="str">
        <x:v>التعلم بعد الحملة</x:v>
      </x:c>
      <x:c r="D54" s="5" t="str">
        <x:v>ربط النتائج بالفرضيات وتحديث مكتبة المعرفة.</x:v>
      </x:c>
      <x:c r="E54" s="5" t="str">
        <x:v>مدير الإستراتيجية</x:v>
      </x:c>
      <x:c r="F54" s="5" t="str">
        <x:v>P2</x:v>
      </x:c>
      <x:c r="G54" s="5" t="str">
        <x:v>التخصصات</x:v>
      </x:c>
      <x:c r="H54" s="5" t="str">
        <x:v>مقترح للاعتماد</x:v>
      </x:c>
      <x:c r="I54" s="5" t="str">
        <x:v>تسجل الدروس القابلة لإعادة الاستخدام دون كشف بيانات عميل آخر.</x:v>
      </x:c>
      <x:c r="J54" s="5" t="str">
        <x:v>هوية موحدة + بيانات مرجعية + موافقات + مالك إجراء</x:v>
      </x:c>
      <x:c r="K54" s="5" t="str">
        <x:v>داخلي / حسب المشروع</x:v>
      </x:c>
      <x:c r="L54" s="5" t="str">
        <x:v>خدمة مؤكدة في البروفايل؛ وحدة متخصصة غير مثبتة</x:v>
      </x:c>
      <x:c r="M54" s="5" t="str">
        <x:v>البروفايل ص7</x:v>
      </x:c>
      <x:c r="N54" s="5" t="str">
        <x:v>https://drive.google.com/file/d/1tpDQzQsDgzfT8XoFyGsH8ZkER23eKO40/view</x:v>
      </x:c>
    </x:row>
    <x:row r="55" ht="78" customHeight="1">
      <x:c r="A55" s="5" t="str">
        <x:v>CRT-01</x:v>
      </x:c>
      <x:c r="B55" s="5" t="str">
        <x:v>الخدمات الإبداعية والمحتوى</x:v>
      </x:c>
      <x:c r="C55" s="5" t="str">
        <x:v>طابور الطلبات</x:v>
      </x:c>
      <x:c r="D55" s="5" t="str">
        <x:v>فرز طلبات التصميم والكتابة والهوية حسب الأولوية والموعد والسعة.</x:v>
      </x:c>
      <x:c r="E55" s="5" t="str">
        <x:v>المدير الإبداعي / المحتوى</x:v>
      </x:c>
      <x:c r="F55" s="5" t="str">
        <x:v>P1</x:v>
      </x:c>
      <x:c r="G55" s="5" t="str">
        <x:v>التخصصات</x:v>
      </x:c>
      <x:c r="H55" s="5" t="str">
        <x:v>مقترح للاعتماد</x:v>
      </x:c>
      <x:c r="I55" s="5" t="str">
        <x:v>تظهر الطلبات غير المقبولة بالنطاق قبل الإسناد.</x:v>
      </x:c>
      <x:c r="J55" s="5" t="str">
        <x:v>هوية موحدة + بيانات مرجعية + موافقات + مالك إجراء</x:v>
      </x:c>
      <x:c r="K55" s="5" t="str">
        <x:v>داخلي / حسب المشروع</x:v>
      </x:c>
      <x:c r="L55" s="5" t="str">
        <x:v>مخرجات عامة ومعرض أعمال؛ إدارة ملفات ونسخ متخصصة غير مثبتة</x:v>
      </x:c>
      <x:c r="M55" s="5" t="str">
        <x:v>البروفايل ص7؛ Creative Showcase بيانات وصفية</x:v>
      </x:c>
      <x:c r="N55" s="5" t="str">
        <x:v>https://drive.google.com/file/d/1tpDQzQsDgzfT8XoFyGsH8ZkER23eKO40/view</x:v>
      </x:c>
    </x:row>
    <x:row r="56" ht="78" customHeight="1">
      <x:c r="A56" s="5" t="str">
        <x:v>CRT-02</x:v>
      </x:c>
      <x:c r="B56" s="5" t="str">
        <x:v>الخدمات الإبداعية والمحتوى</x:v>
      </x:c>
      <x:c r="C56" s="5" t="str">
        <x:v>مواصفات المخرج</x:v>
      </x:c>
      <x:c r="D56" s="5" t="str">
        <x:v>تحديد المقاس والصيغة واللغة والمنصة ودليل الهوية وعدد النسخ.</x:v>
      </x:c>
      <x:c r="E56" s="5" t="str">
        <x:v>المدير الإبداعي / المحتوى</x:v>
      </x:c>
      <x:c r="F56" s="5" t="str">
        <x:v>P1</x:v>
      </x:c>
      <x:c r="G56" s="5" t="str">
        <x:v>التخصصات</x:v>
      </x:c>
      <x:c r="H56" s="5" t="str">
        <x:v>مقترح للاعتماد</x:v>
      </x:c>
      <x:c r="I56" s="5" t="str">
        <x:v>لا يسلم ملف يخالف المواصفات دون استثناء مسجل.</x:v>
      </x:c>
      <x:c r="J56" s="5" t="str">
        <x:v>هوية موحدة + بيانات مرجعية + موافقات + مالك إجراء</x:v>
      </x:c>
      <x:c r="K56" s="5" t="str">
        <x:v>داخلي / حسب المشروع</x:v>
      </x:c>
      <x:c r="L56" s="5" t="str">
        <x:v>مخرجات عامة ومعرض أعمال؛ إدارة ملفات ونسخ متخصصة غير مثبتة</x:v>
      </x:c>
      <x:c r="M56" s="5" t="str">
        <x:v>البروفايل ص7؛ Creative Showcase بيانات وصفية</x:v>
      </x:c>
      <x:c r="N56" s="5" t="str">
        <x:v>https://drive.google.com/file/d/1tpDQzQsDgzfT8XoFyGsH8ZkER23eKO40/view</x:v>
      </x:c>
    </x:row>
    <x:row r="57" ht="78" customHeight="1">
      <x:c r="A57" s="5" t="str">
        <x:v>CRT-03</x:v>
      </x:c>
      <x:c r="B57" s="5" t="str">
        <x:v>الخدمات الإبداعية والمحتوى</x:v>
      </x:c>
      <x:c r="C57" s="5" t="str">
        <x:v>المفاهيم الإبداعية</x:v>
      </x:c>
      <x:c r="D57" s="5" t="str">
        <x:v>حفظ البدائل والاختيار وأسباب الرفض قبل الإنتاج التفصيلي.</x:v>
      </x:c>
      <x:c r="E57" s="5" t="str">
        <x:v>المدير الإبداعي / المحتوى</x:v>
      </x:c>
      <x:c r="F57" s="5" t="str">
        <x:v>P1</x:v>
      </x:c>
      <x:c r="G57" s="5" t="str">
        <x:v>التخصصات</x:v>
      </x:c>
      <x:c r="H57" s="5" t="str">
        <x:v>مقترح للاعتماد</x:v>
      </x:c>
      <x:c r="I57" s="5" t="str">
        <x:v>يرتبط التنفيذ بالمفهوم الذي اعتمد فعليًا.</x:v>
      </x:c>
      <x:c r="J57" s="5" t="str">
        <x:v>هوية موحدة + بيانات مرجعية + موافقات + مالك إجراء</x:v>
      </x:c>
      <x:c r="K57" s="5" t="str">
        <x:v>داخلي / حسب المشروع</x:v>
      </x:c>
      <x:c r="L57" s="5" t="str">
        <x:v>مخرجات عامة ومعرض أعمال؛ إدارة ملفات ونسخ متخصصة غير مثبتة</x:v>
      </x:c>
      <x:c r="M57" s="5" t="str">
        <x:v>البروفايل ص7؛ Creative Showcase بيانات وصفية</x:v>
      </x:c>
      <x:c r="N57" s="5" t="str">
        <x:v>https://drive.google.com/file/d/1tpDQzQsDgzfT8XoFyGsH8ZkER23eKO40/view</x:v>
      </x:c>
    </x:row>
    <x:row r="58" ht="78" customHeight="1">
      <x:c r="A58" s="5" t="str">
        <x:v>CRT-04</x:v>
      </x:c>
      <x:c r="B58" s="5" t="str">
        <x:v>الخدمات الإبداعية والمحتوى</x:v>
      </x:c>
      <x:c r="C58" s="5" t="str">
        <x:v>دورات المراجعة</x:v>
      </x:c>
      <x:c r="D58" s="5" t="str">
        <x:v>حالات كتابة ومراجعة لغوية وفنية وداخلية ثم عميل.</x:v>
      </x:c>
      <x:c r="E58" s="5" t="str">
        <x:v>المدير الإبداعي / المحتوى</x:v>
      </x:c>
      <x:c r="F58" s="5" t="str">
        <x:v>P1</x:v>
      </x:c>
      <x:c r="G58" s="5" t="str">
        <x:v>التخصصات</x:v>
      </x:c>
      <x:c r="H58" s="5" t="str">
        <x:v>مقترح للاعتماد</x:v>
      </x:c>
      <x:c r="I58" s="5" t="str">
        <x:v>لا تنتقل نسخة للعميل قبل اكتمال المراجعات المطلوبة.</x:v>
      </x:c>
      <x:c r="J58" s="5" t="str">
        <x:v>هوية موحدة + بيانات مرجعية + موافقات + مالك إجراء</x:v>
      </x:c>
      <x:c r="K58" s="5" t="str">
        <x:v>داخلي / حسب المشروع</x:v>
      </x:c>
      <x:c r="L58" s="5" t="str">
        <x:v>مخرجات عامة ومعرض أعمال؛ إدارة ملفات ونسخ متخصصة غير مثبتة</x:v>
      </x:c>
      <x:c r="M58" s="5" t="str">
        <x:v>البروفايل ص7؛ Creative Showcase بيانات وصفية</x:v>
      </x:c>
      <x:c r="N58" s="5" t="str">
        <x:v>https://drive.google.com/file/d/1tpDQzQsDgzfT8XoFyGsH8ZkER23eKO40/view</x:v>
      </x:c>
    </x:row>
    <x:row r="59" ht="78" customHeight="1">
      <x:c r="A59" s="5" t="str">
        <x:v>CRT-05</x:v>
      </x:c>
      <x:c r="B59" s="5" t="str">
        <x:v>الخدمات الإبداعية والمحتوى</x:v>
      </x:c>
      <x:c r="C59" s="5" t="str">
        <x:v>ضبط النسخ</x:v>
      </x:c>
      <x:c r="D59" s="5" t="str">
        <x:v>حفظ المصدر والنسخ والمعاينات والتعليقات مع معرف نسخة ثابت.</x:v>
      </x:c>
      <x:c r="E59" s="5" t="str">
        <x:v>المدير الإبداعي / المحتوى</x:v>
      </x:c>
      <x:c r="F59" s="5" t="str">
        <x:v>P2</x:v>
      </x:c>
      <x:c r="G59" s="5" t="str">
        <x:v>التخصصات</x:v>
      </x:c>
      <x:c r="H59" s="5" t="str">
        <x:v>مقترح للاعتماد</x:v>
      </x:c>
      <x:c r="I59" s="5" t="str">
        <x:v>رابط الاعتماد لا ينتقل تلقائيًا لنسخة جديدة.</x:v>
      </x:c>
      <x:c r="J59" s="5" t="str">
        <x:v>هوية موحدة + بيانات مرجعية + موافقات + مالك إجراء</x:v>
      </x:c>
      <x:c r="K59" s="5" t="str">
        <x:v>داخلي / حسب المشروع</x:v>
      </x:c>
      <x:c r="L59" s="5" t="str">
        <x:v>مخرجات عامة ومعرض أعمال؛ إدارة ملفات ونسخ متخصصة غير مثبتة</x:v>
      </x:c>
      <x:c r="M59" s="5" t="str">
        <x:v>البروفايل ص7؛ Creative Showcase بيانات وصفية</x:v>
      </x:c>
      <x:c r="N59" s="5" t="str">
        <x:v>https://drive.google.com/file/d/1tpDQzQsDgzfT8XoFyGsH8ZkER23eKO40/view</x:v>
      </x:c>
    </x:row>
    <x:row r="60" ht="78" customHeight="1">
      <x:c r="A60" s="5" t="str">
        <x:v>CRT-06</x:v>
      </x:c>
      <x:c r="B60" s="5" t="str">
        <x:v>الخدمات الإبداعية والمحتوى</x:v>
      </x:c>
      <x:c r="C60" s="5" t="str">
        <x:v>إدارة الأصول الرقمية</x:v>
      </x:c>
      <x:c r="D60" s="5" t="str">
        <x:v>تصنيف الصور والفيديو والملفات بالعميل والمشروع والحقوق والوسوم.</x:v>
      </x:c>
      <x:c r="E60" s="5" t="str">
        <x:v>المدير الإبداعي / المحتوى</x:v>
      </x:c>
      <x:c r="F60" s="5" t="str">
        <x:v>P2</x:v>
      </x:c>
      <x:c r="G60" s="5" t="str">
        <x:v>التخصصات</x:v>
      </x:c>
      <x:c r="H60" s="5" t="str">
        <x:v>مقترح للاعتماد</x:v>
      </x:c>
      <x:c r="I60" s="5" t="str">
        <x:v>البحث لا يعرض أصلًا خارج صلاحية المستخدم.</x:v>
      </x:c>
      <x:c r="J60" s="5" t="str">
        <x:v>هوية موحدة + بيانات مرجعية + موافقات + مالك إجراء</x:v>
      </x:c>
      <x:c r="K60" s="5" t="str">
        <x:v>داخلي / حسب المشروع</x:v>
      </x:c>
      <x:c r="L60" s="5" t="str">
        <x:v>مخرجات عامة ومعرض أعمال؛ إدارة ملفات ونسخ متخصصة غير مثبتة</x:v>
      </x:c>
      <x:c r="M60" s="5" t="str">
        <x:v>البروفايل ص7؛ Creative Showcase بيانات وصفية</x:v>
      </x:c>
      <x:c r="N60" s="5" t="str">
        <x:v>https://drive.google.com/file/d/1tpDQzQsDgzfT8XoFyGsH8ZkER23eKO40/view</x:v>
      </x:c>
    </x:row>
    <x:row r="61" ht="78" customHeight="1">
      <x:c r="A61" s="5" t="str">
        <x:v>CRT-07</x:v>
      </x:c>
      <x:c r="B61" s="5" t="str">
        <x:v>الخدمات الإبداعية والمحتوى</x:v>
      </x:c>
      <x:c r="C61" s="5" t="str">
        <x:v>حقوق الاستخدام</x:v>
      </x:c>
      <x:c r="D61" s="5" t="str">
        <x:v>تسجيل تراخيص الخطوط والصور والموسيقى والنطاق والمدة.</x:v>
      </x:c>
      <x:c r="E61" s="5" t="str">
        <x:v>المدير الإبداعي / المحتوى</x:v>
      </x:c>
      <x:c r="F61" s="5" t="str">
        <x:v>P2</x:v>
      </x:c>
      <x:c r="G61" s="5" t="str">
        <x:v>التخصصات</x:v>
      </x:c>
      <x:c r="H61" s="5" t="str">
        <x:v>مقترح للاعتماد</x:v>
      </x:c>
      <x:c r="I61" s="5" t="str">
        <x:v>يمنع استخدام أصل منتهي الترخيص في تسليم جديد.</x:v>
      </x:c>
      <x:c r="J61" s="5" t="str">
        <x:v>هوية موحدة + بيانات مرجعية + موافقات + مالك إجراء</x:v>
      </x:c>
      <x:c r="K61" s="5" t="str">
        <x:v>داخلي / حسب المشروع</x:v>
      </x:c>
      <x:c r="L61" s="5" t="str">
        <x:v>مخرجات عامة ومعرض أعمال؛ إدارة ملفات ونسخ متخصصة غير مثبتة</x:v>
      </x:c>
      <x:c r="M61" s="5" t="str">
        <x:v>البروفايل ص7؛ Creative Showcase بيانات وصفية</x:v>
      </x:c>
      <x:c r="N61" s="5" t="str">
        <x:v>https://drive.google.com/file/d/1tpDQzQsDgzfT8XoFyGsH8ZkER23eKO40/view</x:v>
      </x:c>
    </x:row>
    <x:row r="62" ht="78" customHeight="1">
      <x:c r="A62" s="5" t="str">
        <x:v>CRT-08</x:v>
      </x:c>
      <x:c r="B62" s="5" t="str">
        <x:v>الخدمات الإبداعية والمحتوى</x:v>
      </x:c>
      <x:c r="C62" s="5" t="str">
        <x:v>جودة المحتوى</x:v>
      </x:c>
      <x:c r="D62" s="5" t="str">
        <x:v>قوائم تحقق للهوية والإملاء والمعلومات والادعاءات والتباين والترجمة.</x:v>
      </x:c>
      <x:c r="E62" s="5" t="str">
        <x:v>المدير الإبداعي / المحتوى</x:v>
      </x:c>
      <x:c r="F62" s="5" t="str">
        <x:v>P2</x:v>
      </x:c>
      <x:c r="G62" s="5" t="str">
        <x:v>التخصصات</x:v>
      </x:c>
      <x:c r="H62" s="5" t="str">
        <x:v>مقترح للاعتماد</x:v>
      </x:c>
      <x:c r="I62" s="5" t="str">
        <x:v>لا يصدر المخرج النهائي دون توقيع الجودة.</x:v>
      </x:c>
      <x:c r="J62" s="5" t="str">
        <x:v>هوية موحدة + بيانات مرجعية + موافقات + مالك إجراء</x:v>
      </x:c>
      <x:c r="K62" s="5" t="str">
        <x:v>داخلي / حسب المشروع</x:v>
      </x:c>
      <x:c r="L62" s="5" t="str">
        <x:v>مخرجات عامة ومعرض أعمال؛ إدارة ملفات ونسخ متخصصة غير مثبتة</x:v>
      </x:c>
      <x:c r="M62" s="5" t="str">
        <x:v>البروفايل ص7؛ Creative Showcase بيانات وصفية</x:v>
      </x:c>
      <x:c r="N62" s="5" t="str">
        <x:v>https://drive.google.com/file/d/1tpDQzQsDgzfT8XoFyGsH8ZkER23eKO40/view</x:v>
      </x:c>
    </x:row>
    <x:row r="63" ht="78" customHeight="1">
      <x:c r="A63" s="5" t="str">
        <x:v>CRT-09</x:v>
      </x:c>
      <x:c r="B63" s="5" t="str">
        <x:v>الخدمات الإبداعية والمحتوى</x:v>
      </x:c>
      <x:c r="C63" s="5" t="str">
        <x:v>التسليم والحزم</x:v>
      </x:c>
      <x:c r="D63" s="5" t="str">
        <x:v>توليد حزمة تسليم بالأصول والنسخ والمصادر حسب العقد.</x:v>
      </x:c>
      <x:c r="E63" s="5" t="str">
        <x:v>المدير الإبداعي / المحتوى</x:v>
      </x:c>
      <x:c r="F63" s="5" t="str">
        <x:v>P2</x:v>
      </x:c>
      <x:c r="G63" s="5" t="str">
        <x:v>التخصصات</x:v>
      </x:c>
      <x:c r="H63" s="5" t="str">
        <x:v>مقترح للاعتماد</x:v>
      </x:c>
      <x:c r="I63" s="5" t="str">
        <x:v>يمكن إثبات ما سلم وما استثني من ملفات المصدر.</x:v>
      </x:c>
      <x:c r="J63" s="5" t="str">
        <x:v>هوية موحدة + بيانات مرجعية + موافقات + مالك إجراء</x:v>
      </x:c>
      <x:c r="K63" s="5" t="str">
        <x:v>داخلي / حسب المشروع</x:v>
      </x:c>
      <x:c r="L63" s="5" t="str">
        <x:v>مخرجات عامة ومعرض أعمال؛ إدارة ملفات ونسخ متخصصة غير مثبتة</x:v>
      </x:c>
      <x:c r="M63" s="5" t="str">
        <x:v>البروفايل ص7؛ Creative Showcase بيانات وصفية</x:v>
      </x:c>
      <x:c r="N63" s="5" t="str">
        <x:v>https://drive.google.com/file/d/1tpDQzQsDgzfT8XoFyGsH8ZkER23eKO40/view</x:v>
      </x:c>
    </x:row>
    <x:row r="64" ht="78" customHeight="1">
      <x:c r="A64" s="5" t="str">
        <x:v>CRT-10</x:v>
      </x:c>
      <x:c r="B64" s="5" t="str">
        <x:v>الخدمات الإبداعية والمحتوى</x:v>
      </x:c>
      <x:c r="C64" s="5" t="str">
        <x:v>إعادة الاستخدام</x:v>
      </x:c>
      <x:c r="D64" s="5" t="str">
        <x:v>مكتبة قوالب مصرح بها مع فصل معرفة الشركة عن ملكية العميل.</x:v>
      </x:c>
      <x:c r="E64" s="5" t="str">
        <x:v>المدير الإبداعي / المحتوى</x:v>
      </x:c>
      <x:c r="F64" s="5" t="str">
        <x:v>P2</x:v>
      </x:c>
      <x:c r="G64" s="5" t="str">
        <x:v>التخصصات</x:v>
      </x:c>
      <x:c r="H64" s="5" t="str">
        <x:v>مقترح للاعتماد</x:v>
      </x:c>
      <x:c r="I64" s="5" t="str">
        <x:v>لا يعاد استخدام عمل حصري لعميل آخر دون إذن.</x:v>
      </x:c>
      <x:c r="J64" s="5" t="str">
        <x:v>هوية موحدة + بيانات مرجعية + موافقات + مالك إجراء</x:v>
      </x:c>
      <x:c r="K64" s="5" t="str">
        <x:v>داخلي / حسب المشروع</x:v>
      </x:c>
      <x:c r="L64" s="5" t="str">
        <x:v>مخرجات عامة ومعرض أعمال؛ إدارة ملفات ونسخ متخصصة غير مثبتة</x:v>
      </x:c>
      <x:c r="M64" s="5" t="str">
        <x:v>البروفايل ص7؛ Creative Showcase بيانات وصفية</x:v>
      </x:c>
      <x:c r="N64" s="5" t="str">
        <x:v>https://drive.google.com/file/d/1tpDQzQsDgzfT8XoFyGsH8ZkER23eKO40/view</x:v>
      </x:c>
    </x:row>
    <x:row r="65" ht="78" customHeight="1">
      <x:c r="A65" s="5" t="str">
        <x:v>DIG-01</x:v>
      </x:c>
      <x:c r="B65" s="5" t="str">
        <x:v>التسويق الرقمي والشراء الإعلامي</x:v>
      </x:c>
      <x:c r="C65" s="5" t="str">
        <x:v>سجل الحسابات الإعلانية</x:v>
      </x:c>
      <x:c r="D65" s="5" t="str">
        <x:v>ربط الحساب بالعميل ومالكه ومفوضيه وتاريخ انتهاء الوصول.</x:v>
      </x:c>
      <x:c r="E65" s="5" t="str">
        <x:v>مدير التسويق الرقمي</x:v>
      </x:c>
      <x:c r="F65" s="5" t="str">
        <x:v>P1</x:v>
      </x:c>
      <x:c r="G65" s="5" t="str">
        <x:v>التخصصات</x:v>
      </x:c>
      <x:c r="H65" s="5" t="str">
        <x:v>مقترح للاعتماد</x:v>
      </x:c>
      <x:c r="I65" s="5" t="str">
        <x:v>إلغاء تكليف موظف يزيل وصوله حسب سياسة واضحة.</x:v>
      </x:c>
      <x:c r="J65" s="5" t="str">
        <x:v>هوية موحدة + بيانات مرجعية + موافقات + مالك إجراء</x:v>
      </x:c>
      <x:c r="K65" s="5" t="str">
        <x:v>داخلي / حسب المشروع</x:v>
      </x:c>
      <x:c r="L65" s="5" t="str">
        <x:v>campaigns ومؤشرات؛ الربط بحسابات الإعلان غير مثبت</x:v>
      </x:c>
      <x:c r="M65" s="5" t="str">
        <x:v>البروفايل ص7؛ بوابة 360: campaigns</x:v>
      </x:c>
      <x:c r="N65" s="5" t="str">
        <x:v>https://drive.google.com/file/d/1tpDQzQsDgzfT8XoFyGsH8ZkER23eKO40/view</x:v>
      </x:c>
    </x:row>
    <x:row r="66" ht="78" customHeight="1">
      <x:c r="A66" s="5" t="str">
        <x:v>DIG-02</x:v>
      </x:c>
      <x:c r="B66" s="5" t="str">
        <x:v>التسويق الرقمي والشراء الإعلامي</x:v>
      </x:c>
      <x:c r="C66" s="5" t="str">
        <x:v>التقويم التحريري</x:v>
      </x:c>
      <x:c r="D66" s="5" t="str">
        <x:v>تخطيط المنشورات حسب المنصة واللغة والحملة والمناسبة.</x:v>
      </x:c>
      <x:c r="E66" s="5" t="str">
        <x:v>مدير التسويق الرقمي</x:v>
      </x:c>
      <x:c r="F66" s="5" t="str">
        <x:v>P1</x:v>
      </x:c>
      <x:c r="G66" s="5" t="str">
        <x:v>التخصصات</x:v>
      </x:c>
      <x:c r="H66" s="5" t="str">
        <x:v>مقترح للاعتماد</x:v>
      </x:c>
      <x:c r="I66" s="5" t="str">
        <x:v>لا ينشر منشور بلا نسخة وموافقة ساريتين.</x:v>
      </x:c>
      <x:c r="J66" s="5" t="str">
        <x:v>هوية موحدة + بيانات مرجعية + موافقات + مالك إجراء</x:v>
      </x:c>
      <x:c r="K66" s="5" t="str">
        <x:v>داخلي / حسب المشروع</x:v>
      </x:c>
      <x:c r="L66" s="5" t="str">
        <x:v>campaigns ومؤشرات؛ الربط بحسابات الإعلان غير مثبت</x:v>
      </x:c>
      <x:c r="M66" s="5" t="str">
        <x:v>البروفايل ص7؛ بوابة 360: campaigns</x:v>
      </x:c>
      <x:c r="N66" s="5" t="str">
        <x:v>https://drive.google.com/file/d/1tpDQzQsDgzfT8XoFyGsH8ZkER23eKO40/view</x:v>
      </x:c>
    </x:row>
    <x:row r="67" ht="78" customHeight="1">
      <x:c r="A67" s="5" t="str">
        <x:v>DIG-03</x:v>
      </x:c>
      <x:c r="B67" s="5" t="str">
        <x:v>التسويق الرقمي والشراء الإعلامي</x:v>
      </x:c>
      <x:c r="C67" s="5" t="str">
        <x:v>خطة الشراء الإعلامي</x:v>
      </x:c>
      <x:c r="D67" s="5" t="str">
        <x:v>توزيع الميزانية حسب المنصة والهدف والمدة والأتعاب والإنفاق الممرر.</x:v>
      </x:c>
      <x:c r="E67" s="5" t="str">
        <x:v>مدير التسويق الرقمي</x:v>
      </x:c>
      <x:c r="F67" s="5" t="str">
        <x:v>P1</x:v>
      </x:c>
      <x:c r="G67" s="5" t="str">
        <x:v>التخصصات</x:v>
      </x:c>
      <x:c r="H67" s="5" t="str">
        <x:v>مقترح للاعتماد</x:v>
      </x:c>
      <x:c r="I67" s="5" t="str">
        <x:v>يظهر إنفاق العميل منفصلًا عن أتعاب الشركة.</x:v>
      </x:c>
      <x:c r="J67" s="5" t="str">
        <x:v>هوية موحدة + بيانات مرجعية + موافقات + مالك إجراء</x:v>
      </x:c>
      <x:c r="K67" s="5" t="str">
        <x:v>داخلي / حسب المشروع</x:v>
      </x:c>
      <x:c r="L67" s="5" t="str">
        <x:v>campaigns ومؤشرات؛ الربط بحسابات الإعلان غير مثبت</x:v>
      </x:c>
      <x:c r="M67" s="5" t="str">
        <x:v>البروفايل ص7؛ بوابة 360: campaigns</x:v>
      </x:c>
      <x:c r="N67" s="5" t="str">
        <x:v>https://drive.google.com/file/d/1tpDQzQsDgzfT8XoFyGsH8ZkER23eKO40/view</x:v>
      </x:c>
    </x:row>
    <x:row r="68" ht="78" customHeight="1">
      <x:c r="A68" s="5" t="str">
        <x:v>DIG-04</x:v>
      </x:c>
      <x:c r="B68" s="5" t="str">
        <x:v>التسويق الرقمي والشراء الإعلامي</x:v>
      </x:c>
      <x:c r="C68" s="5" t="str">
        <x:v>الإعداد والقياس</x:v>
      </x:c>
      <x:c r="D68" s="5" t="str">
        <x:v>توحيد UTM وأحداث التحويل وطرق الإسناد وموافقة العميل.</x:v>
      </x:c>
      <x:c r="E68" s="5" t="str">
        <x:v>مدير التسويق الرقمي</x:v>
      </x:c>
      <x:c r="F68" s="5" t="str">
        <x:v>P1</x:v>
      </x:c>
      <x:c r="G68" s="5" t="str">
        <x:v>التخصصات</x:v>
      </x:c>
      <x:c r="H68" s="5" t="str">
        <x:v>مقترح للاعتماد</x:v>
      </x:c>
      <x:c r="I68" s="5" t="str">
        <x:v>اختبار تحويل تجريبي يصل للمصدر المتوقع قبل الإطلاق.</x:v>
      </x:c>
      <x:c r="J68" s="5" t="str">
        <x:v>هوية موحدة + بيانات مرجعية + موافقات + مالك إجراء</x:v>
      </x:c>
      <x:c r="K68" s="5" t="str">
        <x:v>داخلي / حسب المشروع</x:v>
      </x:c>
      <x:c r="L68" s="5" t="str">
        <x:v>campaigns ومؤشرات؛ الربط بحسابات الإعلان غير مثبت</x:v>
      </x:c>
      <x:c r="M68" s="5" t="str">
        <x:v>البروفايل ص7؛ بوابة 360: campaigns</x:v>
      </x:c>
      <x:c r="N68" s="5" t="str">
        <x:v>https://drive.google.com/file/d/1tpDQzQsDgzfT8XoFyGsH8ZkER23eKO40/view</x:v>
      </x:c>
    </x:row>
    <x:row r="69" ht="78" customHeight="1">
      <x:c r="A69" s="5" t="str">
        <x:v>DIG-05</x:v>
      </x:c>
      <x:c r="B69" s="5" t="str">
        <x:v>التسويق الرقمي والشراء الإعلامي</x:v>
      </x:c>
      <x:c r="C69" s="5" t="str">
        <x:v>اعتماد الإطلاق</x:v>
      </x:c>
      <x:c r="D69" s="5" t="str">
        <x:v>مراجعة الجمهور والموقع والميزانية والموعد والمحتوى والتتبع.</x:v>
      </x:c>
      <x:c r="E69" s="5" t="str">
        <x:v>مدير التسويق الرقمي</x:v>
      </x:c>
      <x:c r="F69" s="5" t="str">
        <x:v>P2</x:v>
      </x:c>
      <x:c r="G69" s="5" t="str">
        <x:v>التخصصات</x:v>
      </x:c>
      <x:c r="H69" s="5" t="str">
        <x:v>مقترح للاعتماد</x:v>
      </x:c>
      <x:c r="I69" s="5" t="str">
        <x:v>لا يطلق حساب غير مخول حملة مدفوعة.</x:v>
      </x:c>
      <x:c r="J69" s="5" t="str">
        <x:v>هوية موحدة + بيانات مرجعية + موافقات + مالك إجراء</x:v>
      </x:c>
      <x:c r="K69" s="5" t="str">
        <x:v>داخلي / حسب المشروع</x:v>
      </x:c>
      <x:c r="L69" s="5" t="str">
        <x:v>campaigns ومؤشرات؛ الربط بحسابات الإعلان غير مثبت</x:v>
      </x:c>
      <x:c r="M69" s="5" t="str">
        <x:v>البروفايل ص7؛ بوابة 360: campaigns</x:v>
      </x:c>
      <x:c r="N69" s="5" t="str">
        <x:v>https://drive.google.com/file/d/1tpDQzQsDgzfT8XoFyGsH8ZkER23eKO40/view</x:v>
      </x:c>
    </x:row>
    <x:row r="70" ht="78" customHeight="1">
      <x:c r="A70" s="5" t="str">
        <x:v>DIG-06</x:v>
      </x:c>
      <x:c r="B70" s="5" t="str">
        <x:v>التسويق الرقمي والشراء الإعلامي</x:v>
      </x:c>
      <x:c r="C70" s="5" t="str">
        <x:v>متابعة الإنفاق</x:v>
      </x:c>
      <x:c r="D70" s="5" t="str">
        <x:v>مراقبة pacing والانحراف مع مصدر وتاريخ مزامنة.</x:v>
      </x:c>
      <x:c r="E70" s="5" t="str">
        <x:v>مدير التسويق الرقمي</x:v>
      </x:c>
      <x:c r="F70" s="5" t="str">
        <x:v>P2</x:v>
      </x:c>
      <x:c r="G70" s="5" t="str">
        <x:v>التخصصات</x:v>
      </x:c>
      <x:c r="H70" s="5" t="str">
        <x:v>مقترح للاعتماد</x:v>
      </x:c>
      <x:c r="I70" s="5" t="str">
        <x:v>تنبيه تجاوز لا يزيد سقف الإنفاق تلقائيًا.</x:v>
      </x:c>
      <x:c r="J70" s="5" t="str">
        <x:v>هوية موحدة + بيانات مرجعية + موافقات + مالك إجراء</x:v>
      </x:c>
      <x:c r="K70" s="5" t="str">
        <x:v>داخلي / حسب المشروع</x:v>
      </x:c>
      <x:c r="L70" s="5" t="str">
        <x:v>campaigns ومؤشرات؛ الربط بحسابات الإعلان غير مثبت</x:v>
      </x:c>
      <x:c r="M70" s="5" t="str">
        <x:v>البروفايل ص7؛ بوابة 360: campaigns</x:v>
      </x:c>
      <x:c r="N70" s="5" t="str">
        <x:v>https://drive.google.com/file/d/1tpDQzQsDgzfT8XoFyGsH8ZkER23eKO40/view</x:v>
      </x:c>
    </x:row>
    <x:row r="71" ht="78" customHeight="1">
      <x:c r="A71" s="5" t="str">
        <x:v>DIG-07</x:v>
      </x:c>
      <x:c r="B71" s="5" t="str">
        <x:v>التسويق الرقمي والشراء الإعلامي</x:v>
      </x:c>
      <x:c r="C71" s="5" t="str">
        <x:v>تحسين الأداء</x:v>
      </x:c>
      <x:c r="D71" s="5" t="str">
        <x:v>سجل فرضيات وتجارب وتغييرات مع نتيجة وفترة قياس.</x:v>
      </x:c>
      <x:c r="E71" s="5" t="str">
        <x:v>مدير التسويق الرقمي</x:v>
      </x:c>
      <x:c r="F71" s="5" t="str">
        <x:v>P2</x:v>
      </x:c>
      <x:c r="G71" s="5" t="str">
        <x:v>التخصصات</x:v>
      </x:c>
      <x:c r="H71" s="5" t="str">
        <x:v>مقترح للاعتماد</x:v>
      </x:c>
      <x:c r="I71" s="5" t="str">
        <x:v>يمكن فصل أثر تعديل محتوى عن تعديل استهداف.</x:v>
      </x:c>
      <x:c r="J71" s="5" t="str">
        <x:v>هوية موحدة + بيانات مرجعية + موافقات + مالك إجراء</x:v>
      </x:c>
      <x:c r="K71" s="5" t="str">
        <x:v>داخلي / حسب المشروع</x:v>
      </x:c>
      <x:c r="L71" s="5" t="str">
        <x:v>campaigns ومؤشرات؛ الربط بحسابات الإعلان غير مثبت</x:v>
      </x:c>
      <x:c r="M71" s="5" t="str">
        <x:v>البروفايل ص7؛ بوابة 360: campaigns</x:v>
      </x:c>
      <x:c r="N71" s="5" t="str">
        <x:v>https://drive.google.com/file/d/1tpDQzQsDgzfT8XoFyGsH8ZkER23eKO40/view</x:v>
      </x:c>
    </x:row>
    <x:row r="72" ht="78" customHeight="1">
      <x:c r="A72" s="5" t="str">
        <x:v>DIG-08</x:v>
      </x:c>
      <x:c r="B72" s="5" t="str">
        <x:v>التسويق الرقمي والشراء الإعلامي</x:v>
      </x:c>
      <x:c r="C72" s="5" t="str">
        <x:v>الرصد المجتمعي</x:v>
      </x:c>
      <x:c r="D72" s="5" t="str">
        <x:v>متابعة الرسائل والتعليقات والتصعيد والأزمات حسب دليل العميل.</x:v>
      </x:c>
      <x:c r="E72" s="5" t="str">
        <x:v>مدير التسويق الرقمي</x:v>
      </x:c>
      <x:c r="F72" s="5" t="str">
        <x:v>P2</x:v>
      </x:c>
      <x:c r="G72" s="5" t="str">
        <x:v>التخصصات</x:v>
      </x:c>
      <x:c r="H72" s="5" t="str">
        <x:v>مقترح للاعتماد</x:v>
      </x:c>
      <x:c r="I72" s="5" t="str">
        <x:v>الرد الحساس يبقى مسودة حتى اعتماد المخول.</x:v>
      </x:c>
      <x:c r="J72" s="5" t="str">
        <x:v>هوية موحدة + بيانات مرجعية + موافقات + مالك إجراء</x:v>
      </x:c>
      <x:c r="K72" s="5" t="str">
        <x:v>داخلي / حسب المشروع</x:v>
      </x:c>
      <x:c r="L72" s="5" t="str">
        <x:v>campaigns ومؤشرات؛ الربط بحسابات الإعلان غير مثبت</x:v>
      </x:c>
      <x:c r="M72" s="5" t="str">
        <x:v>البروفايل ص7؛ بوابة 360: campaigns</x:v>
      </x:c>
      <x:c r="N72" s="5" t="str">
        <x:v>https://drive.google.com/file/d/1tpDQzQsDgzfT8XoFyGsH8ZkER23eKO40/view</x:v>
      </x:c>
    </x:row>
    <x:row r="73" ht="78" customHeight="1">
      <x:c r="A73" s="5" t="str">
        <x:v>DIG-09</x:v>
      </x:c>
      <x:c r="B73" s="5" t="str">
        <x:v>التسويق الرقمي والشراء الإعلامي</x:v>
      </x:c>
      <x:c r="C73" s="5" t="str">
        <x:v>تقارير النتائج</x:v>
      </x:c>
      <x:c r="D73" s="5" t="str">
        <x:v>عرض المصدر وتعريف الوصول والمشاهدات والتحويل ومنع جمع غير متجانس.</x:v>
      </x:c>
      <x:c r="E73" s="5" t="str">
        <x:v>مدير التسويق الرقمي</x:v>
      </x:c>
      <x:c r="F73" s="5" t="str">
        <x:v>P2</x:v>
      </x:c>
      <x:c r="G73" s="5" t="str">
        <x:v>التخصصات</x:v>
      </x:c>
      <x:c r="H73" s="5" t="str">
        <x:v>مقترح للاعتماد</x:v>
      </x:c>
      <x:c r="I73" s="5" t="str">
        <x:v>لا يجمع الوصول الفريد بين منصات دون بيان احتمال التكرار.</x:v>
      </x:c>
      <x:c r="J73" s="5" t="str">
        <x:v>هوية موحدة + بيانات مرجعية + موافقات + مالك إجراء</x:v>
      </x:c>
      <x:c r="K73" s="5" t="str">
        <x:v>داخلي / حسب المشروع</x:v>
      </x:c>
      <x:c r="L73" s="5" t="str">
        <x:v>campaigns ومؤشرات؛ الربط بحسابات الإعلان غير مثبت</x:v>
      </x:c>
      <x:c r="M73" s="5" t="str">
        <x:v>البروفايل ص7؛ بوابة 360: campaigns</x:v>
      </x:c>
      <x:c r="N73" s="5" t="str">
        <x:v>https://drive.google.com/file/d/1tpDQzQsDgzfT8XoFyGsH8ZkER23eKO40/view</x:v>
      </x:c>
    </x:row>
    <x:row r="74" ht="78" customHeight="1">
      <x:c r="A74" s="5" t="str">
        <x:v>DIG-10</x:v>
      </x:c>
      <x:c r="B74" s="5" t="str">
        <x:v>التسويق الرقمي والشراء الإعلامي</x:v>
      </x:c>
      <x:c r="C74" s="5" t="str">
        <x:v>إقفال الحملة</x:v>
      </x:c>
      <x:c r="D74" s="5" t="str">
        <x:v>مطابقة مصروفات المنصة وفاتورتها وميزانيتها ونتائجها.</x:v>
      </x:c>
      <x:c r="E74" s="5" t="str">
        <x:v>مدير التسويق الرقمي</x:v>
      </x:c>
      <x:c r="F74" s="5" t="str">
        <x:v>P2</x:v>
      </x:c>
      <x:c r="G74" s="5" t="str">
        <x:v>التخصصات</x:v>
      </x:c>
      <x:c r="H74" s="5" t="str">
        <x:v>مقترح للاعتماد</x:v>
      </x:c>
      <x:c r="I74" s="5" t="str">
        <x:v>تطابق إجمالي التكلفة المعتمدة مع مصدرها المالي.</x:v>
      </x:c>
      <x:c r="J74" s="5" t="str">
        <x:v>هوية موحدة + بيانات مرجعية + موافقات + مالك إجراء</x:v>
      </x:c>
      <x:c r="K74" s="5" t="str">
        <x:v>داخلي / حسب المشروع</x:v>
      </x:c>
      <x:c r="L74" s="5" t="str">
        <x:v>campaigns ومؤشرات؛ الربط بحسابات الإعلان غير مثبت</x:v>
      </x:c>
      <x:c r="M74" s="5" t="str">
        <x:v>البروفايل ص7؛ بوابة 360: campaigns</x:v>
      </x:c>
      <x:c r="N74" s="5" t="str">
        <x:v>https://drive.google.com/file/d/1tpDQzQsDgzfT8XoFyGsH8ZkER23eKO40/view</x:v>
      </x:c>
    </x:row>
    <x:row r="75" ht="78" customHeight="1">
      <x:c r="A75" s="5" t="str">
        <x:v>PR-01</x:v>
      </x:c>
      <x:c r="B75" s="5" t="str">
        <x:v>العلاقات العامة والإعلام</x:v>
      </x:c>
      <x:c r="C75" s="5" t="str">
        <x:v>قاعدة الإعلام</x:v>
      </x:c>
      <x:c r="D75" s="5" t="str">
        <x:v>سجل الجهات والصحفيين والتخصص واللغة وتفضيلات التواصل.</x:v>
      </x:c>
      <x:c r="E75" s="5" t="str">
        <x:v>مدير العلاقات الإعلامية</x:v>
      </x:c>
      <x:c r="F75" s="5" t="str">
        <x:v>P1</x:v>
      </x:c>
      <x:c r="G75" s="5" t="str">
        <x:v>التخصصات</x:v>
      </x:c>
      <x:c r="H75" s="5" t="str">
        <x:v>مقترح للاعتماد</x:v>
      </x:c>
      <x:c r="I75" s="5" t="str">
        <x:v>إلغاء الاشتراك أو عدم التواصل يمنع رسالة لاحقة.</x:v>
      </x:c>
      <x:c r="J75" s="5" t="str">
        <x:v>هوية موحدة + بيانات مرجعية + موافقات + مالك إجراء</x:v>
      </x:c>
      <x:c r="K75" s="5" t="str">
        <x:v>داخلي / حسب المشروع</x:v>
      </x:c>
      <x:c r="L75" s="5" t="str">
        <x:v>خدمة مؤكدة؛ سجل إعلامي تفصيلي غير مثبت</x:v>
      </x:c>
      <x:c r="M75" s="5" t="str">
        <x:v>البروفايل ص7 ومشاريع المعارض</x:v>
      </x:c>
      <x:c r="N75" s="5" t="str">
        <x:v>https://drive.google.com/file/d/1tpDQzQsDgzfT8XoFyGsH8ZkER23eKO40/view</x:v>
      </x:c>
    </x:row>
    <x:row r="76" ht="78" customHeight="1">
      <x:c r="A76" s="5" t="str">
        <x:v>PR-02</x:v>
      </x:c>
      <x:c r="B76" s="5" t="str">
        <x:v>العلاقات العامة والإعلام</x:v>
      </x:c>
      <x:c r="C76" s="5" t="str">
        <x:v>الخطة الإعلامية</x:v>
      </x:c>
      <x:c r="D76" s="5" t="str">
        <x:v>رسائل ومتحدثون وقنوات ومواعيد وأهداف ظهور.</x:v>
      </x:c>
      <x:c r="E76" s="5" t="str">
        <x:v>مدير العلاقات الإعلامية</x:v>
      </x:c>
      <x:c r="F76" s="5" t="str">
        <x:v>P1</x:v>
      </x:c>
      <x:c r="G76" s="5" t="str">
        <x:v>التخصصات</x:v>
      </x:c>
      <x:c r="H76" s="5" t="str">
        <x:v>مقترح للاعتماد</x:v>
      </x:c>
      <x:c r="I76" s="5" t="str">
        <x:v>كل نشاط إعلامي مرتبط بمشروع ورسالة معتمدة.</x:v>
      </x:c>
      <x:c r="J76" s="5" t="str">
        <x:v>هوية موحدة + بيانات مرجعية + موافقات + مالك إجراء</x:v>
      </x:c>
      <x:c r="K76" s="5" t="str">
        <x:v>داخلي / حسب المشروع</x:v>
      </x:c>
      <x:c r="L76" s="5" t="str">
        <x:v>خدمة مؤكدة؛ سجل إعلامي تفصيلي غير مثبت</x:v>
      </x:c>
      <x:c r="M76" s="5" t="str">
        <x:v>البروفايل ص7 ومشاريع المعارض</x:v>
      </x:c>
      <x:c r="N76" s="5" t="str">
        <x:v>https://drive.google.com/file/d/1tpDQzQsDgzfT8XoFyGsH8ZkER23eKO40/view</x:v>
      </x:c>
    </x:row>
    <x:row r="77" ht="78" customHeight="1">
      <x:c r="A77" s="5" t="str">
        <x:v>PR-03</x:v>
      </x:c>
      <x:c r="B77" s="5" t="str">
        <x:v>العلاقات العامة والإعلام</x:v>
      </x:c>
      <x:c r="C77" s="5" t="str">
        <x:v>البيانات الصحفية</x:v>
      </x:c>
      <x:c r="D77" s="5" t="str">
        <x:v>كتابة وتدقيق وترجمة واعتماد وإدارة الحظر الزمني.</x:v>
      </x:c>
      <x:c r="E77" s="5" t="str">
        <x:v>مدير العلاقات الإعلامية</x:v>
      </x:c>
      <x:c r="F77" s="5" t="str">
        <x:v>P1</x:v>
      </x:c>
      <x:c r="G77" s="5" t="str">
        <x:v>التخصصات</x:v>
      </x:c>
      <x:c r="H77" s="5" t="str">
        <x:v>مقترح للاعتماد</x:v>
      </x:c>
      <x:c r="I77" s="5" t="str">
        <x:v>لا توزع نسخة قبل وقت الحظر أو من جهة غير مخولة.</x:v>
      </x:c>
      <x:c r="J77" s="5" t="str">
        <x:v>هوية موحدة + بيانات مرجعية + موافقات + مالك إجراء</x:v>
      </x:c>
      <x:c r="K77" s="5" t="str">
        <x:v>داخلي / حسب المشروع</x:v>
      </x:c>
      <x:c r="L77" s="5" t="str">
        <x:v>خدمة مؤكدة؛ سجل إعلامي تفصيلي غير مثبت</x:v>
      </x:c>
      <x:c r="M77" s="5" t="str">
        <x:v>البروفايل ص7 ومشاريع المعارض</x:v>
      </x:c>
      <x:c r="N77" s="5" t="str">
        <x:v>https://drive.google.com/file/d/1tpDQzQsDgzfT8XoFyGsH8ZkER23eKO40/view</x:v>
      </x:c>
    </x:row>
    <x:row r="78" ht="78" customHeight="1">
      <x:c r="A78" s="5" t="str">
        <x:v>PR-04</x:v>
      </x:c>
      <x:c r="B78" s="5" t="str">
        <x:v>العلاقات العامة والإعلام</x:v>
      </x:c>
      <x:c r="C78" s="5" t="str">
        <x:v>إدارة المتحدثين</x:v>
      </x:c>
      <x:c r="D78" s="5" t="str">
        <x:v>نبذة وأسئلة وأجوبة وإحاطات ومواعيد وإقرارات.</x:v>
      </x:c>
      <x:c r="E78" s="5" t="str">
        <x:v>مدير العلاقات الإعلامية</x:v>
      </x:c>
      <x:c r="F78" s="5" t="str">
        <x:v>P1</x:v>
      </x:c>
      <x:c r="G78" s="5" t="str">
        <x:v>التخصصات</x:v>
      </x:c>
      <x:c r="H78" s="5" t="str">
        <x:v>مقترح للاعتماد</x:v>
      </x:c>
      <x:c r="I78" s="5" t="str">
        <x:v>يصل المتحدث إلى أحدث brief معتمد فقط.</x:v>
      </x:c>
      <x:c r="J78" s="5" t="str">
        <x:v>هوية موحدة + بيانات مرجعية + موافقات + مالك إجراء</x:v>
      </x:c>
      <x:c r="K78" s="5" t="str">
        <x:v>داخلي / حسب المشروع</x:v>
      </x:c>
      <x:c r="L78" s="5" t="str">
        <x:v>خدمة مؤكدة؛ سجل إعلامي تفصيلي غير مثبت</x:v>
      </x:c>
      <x:c r="M78" s="5" t="str">
        <x:v>البروفايل ص7 ومشاريع المعارض</x:v>
      </x:c>
      <x:c r="N78" s="5" t="str">
        <x:v>https://drive.google.com/file/d/1tpDQzQsDgzfT8XoFyGsH8ZkER23eKO40/view</x:v>
      </x:c>
    </x:row>
    <x:row r="79" ht="78" customHeight="1">
      <x:c r="A79" s="5" t="str">
        <x:v>PR-05</x:v>
      </x:c>
      <x:c r="B79" s="5" t="str">
        <x:v>العلاقات العامة والإعلام</x:v>
      </x:c>
      <x:c r="C79" s="5" t="str">
        <x:v>تنسيق المقابلات</x:v>
      </x:c>
      <x:c r="D79" s="5" t="str">
        <x:v>حجز الموعد والقناة والموقع والطاقم والتجهيزات.</x:v>
      </x:c>
      <x:c r="E79" s="5" t="str">
        <x:v>مدير العلاقات الإعلامية</x:v>
      </x:c>
      <x:c r="F79" s="5" t="str">
        <x:v>P2</x:v>
      </x:c>
      <x:c r="G79" s="5" t="str">
        <x:v>التخصصات</x:v>
      </x:c>
      <x:c r="H79" s="5" t="str">
        <x:v>مقترح للاعتماد</x:v>
      </x:c>
      <x:c r="I79" s="5" t="str">
        <x:v>يكشف تضارب مقابلة مع التزام إنتاج آخر.</x:v>
      </x:c>
      <x:c r="J79" s="5" t="str">
        <x:v>هوية موحدة + بيانات مرجعية + موافقات + مالك إجراء</x:v>
      </x:c>
      <x:c r="K79" s="5" t="str">
        <x:v>داخلي / حسب المشروع</x:v>
      </x:c>
      <x:c r="L79" s="5" t="str">
        <x:v>خدمة مؤكدة؛ سجل إعلامي تفصيلي غير مثبت</x:v>
      </x:c>
      <x:c r="M79" s="5" t="str">
        <x:v>البروفايل ص7 ومشاريع المعارض</x:v>
      </x:c>
      <x:c r="N79" s="5" t="str">
        <x:v>https://drive.google.com/file/d/1tpDQzQsDgzfT8XoFyGsH8ZkER23eKO40/view</x:v>
      </x:c>
    </x:row>
    <x:row r="80" ht="78" customHeight="1">
      <x:c r="A80" s="5" t="str">
        <x:v>PR-06</x:v>
      </x:c>
      <x:c r="B80" s="5" t="str">
        <x:v>العلاقات العامة والإعلام</x:v>
      </x:c>
      <x:c r="C80" s="5" t="str">
        <x:v>الدعوات والاعتمادات</x:v>
      </x:c>
      <x:c r="D80" s="5" t="str">
        <x:v>إدارة دعوات الإعلام والضيوف والتصاريح عبر مسؤول محدد.</x:v>
      </x:c>
      <x:c r="E80" s="5" t="str">
        <x:v>مدير العلاقات الإعلامية</x:v>
      </x:c>
      <x:c r="F80" s="5" t="str">
        <x:v>P2</x:v>
      </x:c>
      <x:c r="G80" s="5" t="str">
        <x:v>التخصصات</x:v>
      </x:c>
      <x:c r="H80" s="5" t="str">
        <x:v>مقترح للاعتماد</x:v>
      </x:c>
      <x:c r="I80" s="5" t="str">
        <x:v>كل تصريح له طالب ومخول وغرض وسجل تغيير.</x:v>
      </x:c>
      <x:c r="J80" s="5" t="str">
        <x:v>هوية موحدة + بيانات مرجعية + موافقات + مالك إجراء</x:v>
      </x:c>
      <x:c r="K80" s="5" t="str">
        <x:v>داخلي / حسب المشروع</x:v>
      </x:c>
      <x:c r="L80" s="5" t="str">
        <x:v>خدمة مؤكدة؛ سجل إعلامي تفصيلي غير مثبت</x:v>
      </x:c>
      <x:c r="M80" s="5" t="str">
        <x:v>البروفايل ص7 ومشاريع المعارض</x:v>
      </x:c>
      <x:c r="N80" s="5" t="str">
        <x:v>https://drive.google.com/file/d/1tpDQzQsDgzfT8XoFyGsH8ZkER23eKO40/view</x:v>
      </x:c>
    </x:row>
    <x:row r="81" ht="78" customHeight="1">
      <x:c r="A81" s="5" t="str">
        <x:v>PR-07</x:v>
      </x:c>
      <x:c r="B81" s="5" t="str">
        <x:v>العلاقات العامة والإعلام</x:v>
      </x:c>
      <x:c r="C81" s="5" t="str">
        <x:v>الرصد والتغطية</x:v>
      </x:c>
      <x:c r="D81" s="5" t="str">
        <x:v>حفظ رابط التغطية وصورتها وتاريخها والرسالة والنبرة.</x:v>
      </x:c>
      <x:c r="E81" s="5" t="str">
        <x:v>مدير العلاقات الإعلامية</x:v>
      </x:c>
      <x:c r="F81" s="5" t="str">
        <x:v>P2</x:v>
      </x:c>
      <x:c r="G81" s="5" t="str">
        <x:v>التخصصات</x:v>
      </x:c>
      <x:c r="H81" s="5" t="str">
        <x:v>مقترح للاعتماد</x:v>
      </x:c>
      <x:c r="I81" s="5" t="str">
        <x:v>منع تكرار الخبر نفسه من رفع عدد التغطيات.</x:v>
      </x:c>
      <x:c r="J81" s="5" t="str">
        <x:v>هوية موحدة + بيانات مرجعية + موافقات + مالك إجراء</x:v>
      </x:c>
      <x:c r="K81" s="5" t="str">
        <x:v>داخلي / حسب المشروع</x:v>
      </x:c>
      <x:c r="L81" s="5" t="str">
        <x:v>خدمة مؤكدة؛ سجل إعلامي تفصيلي غير مثبت</x:v>
      </x:c>
      <x:c r="M81" s="5" t="str">
        <x:v>البروفايل ص7 ومشاريع المعارض</x:v>
      </x:c>
      <x:c r="N81" s="5" t="str">
        <x:v>https://drive.google.com/file/d/1tpDQzQsDgzfT8XoFyGsH8ZkER23eKO40/view</x:v>
      </x:c>
    </x:row>
    <x:row r="82" ht="78" customHeight="1">
      <x:c r="A82" s="5" t="str">
        <x:v>PR-08</x:v>
      </x:c>
      <x:c r="B82" s="5" t="str">
        <x:v>العلاقات العامة والإعلام</x:v>
      </x:c>
      <x:c r="C82" s="5" t="str">
        <x:v>إدارة الأزمة</x:v>
      </x:c>
      <x:c r="D82" s="5" t="str">
        <x:v>تحديد شدة الأزمة والمتحدث وتسلسل اعتماد الرسائل.</x:v>
      </x:c>
      <x:c r="E82" s="5" t="str">
        <x:v>مدير العلاقات الإعلامية</x:v>
      </x:c>
      <x:c r="F82" s="5" t="str">
        <x:v>P2</x:v>
      </x:c>
      <x:c r="G82" s="5" t="str">
        <x:v>التخصصات</x:v>
      </x:c>
      <x:c r="H82" s="5" t="str">
        <x:v>مقترح للاعتماد</x:v>
      </x:c>
      <x:c r="I82" s="5" t="str">
        <x:v>لا يرسل رد أزمة آليًا من مساعد ذكي.</x:v>
      </x:c>
      <x:c r="J82" s="5" t="str">
        <x:v>هوية موحدة + بيانات مرجعية + موافقات + مالك إجراء</x:v>
      </x:c>
      <x:c r="K82" s="5" t="str">
        <x:v>داخلي / حسب المشروع</x:v>
      </x:c>
      <x:c r="L82" s="5" t="str">
        <x:v>خدمة مؤكدة؛ سجل إعلامي تفصيلي غير مثبت</x:v>
      </x:c>
      <x:c r="M82" s="5" t="str">
        <x:v>البروفايل ص7 ومشاريع المعارض</x:v>
      </x:c>
      <x:c r="N82" s="5" t="str">
        <x:v>https://drive.google.com/file/d/1tpDQzQsDgzfT8XoFyGsH8ZkER23eKO40/view</x:v>
      </x:c>
    </x:row>
    <x:row r="83" ht="78" customHeight="1">
      <x:c r="A83" s="5" t="str">
        <x:v>PR-09</x:v>
      </x:c>
      <x:c r="B83" s="5" t="str">
        <x:v>العلاقات العامة والإعلام</x:v>
      </x:c>
      <x:c r="C83" s="5" t="str">
        <x:v>قياس الأثر</x:v>
      </x:c>
      <x:c r="D83" s="5" t="str">
        <x:v>فصل حجم النشر ووصوله وجودة الرسالة عن تقديرات القيمة.</x:v>
      </x:c>
      <x:c r="E83" s="5" t="str">
        <x:v>مدير العلاقات الإعلامية</x:v>
      </x:c>
      <x:c r="F83" s="5" t="str">
        <x:v>P2</x:v>
      </x:c>
      <x:c r="G83" s="5" t="str">
        <x:v>التخصصات</x:v>
      </x:c>
      <x:c r="H83" s="5" t="str">
        <x:v>مقترح للاعتماد</x:v>
      </x:c>
      <x:c r="I83" s="5" t="str">
        <x:v>كل رقم تقديري ظاهر بوصفه تقديرًا ومصدره.</x:v>
      </x:c>
      <x:c r="J83" s="5" t="str">
        <x:v>هوية موحدة + بيانات مرجعية + موافقات + مالك إجراء</x:v>
      </x:c>
      <x:c r="K83" s="5" t="str">
        <x:v>داخلي / حسب المشروع</x:v>
      </x:c>
      <x:c r="L83" s="5" t="str">
        <x:v>خدمة مؤكدة؛ سجل إعلامي تفصيلي غير مثبت</x:v>
      </x:c>
      <x:c r="M83" s="5" t="str">
        <x:v>البروفايل ص7 ومشاريع المعارض</x:v>
      </x:c>
      <x:c r="N83" s="5" t="str">
        <x:v>https://drive.google.com/file/d/1tpDQzQsDgzfT8XoFyGsH8ZkER23eKO40/view</x:v>
      </x:c>
    </x:row>
    <x:row r="84" ht="78" customHeight="1">
      <x:c r="A84" s="5" t="str">
        <x:v>PR-10</x:v>
      </x:c>
      <x:c r="B84" s="5" t="str">
        <x:v>العلاقات العامة والإعلام</x:v>
      </x:c>
      <x:c r="C84" s="5" t="str">
        <x:v>الأرشفة</x:v>
      </x:c>
      <x:c r="D84" s="5" t="str">
        <x:v>حفظ حزمة تغطية نهائية قابلة للتسليم والبحث.</x:v>
      </x:c>
      <x:c r="E84" s="5" t="str">
        <x:v>مدير العلاقات الإعلامية</x:v>
      </x:c>
      <x:c r="F84" s="5" t="str">
        <x:v>P2</x:v>
      </x:c>
      <x:c r="G84" s="5" t="str">
        <x:v>التخصصات</x:v>
      </x:c>
      <x:c r="H84" s="5" t="str">
        <x:v>مقترح للاعتماد</x:v>
      </x:c>
      <x:c r="I84" s="5" t="str">
        <x:v>يحصل العميل على حزمة مشروعه دون ملفات داخلية سرية.</x:v>
      </x:c>
      <x:c r="J84" s="5" t="str">
        <x:v>هوية موحدة + بيانات مرجعية + موافقات + مالك إجراء</x:v>
      </x:c>
      <x:c r="K84" s="5" t="str">
        <x:v>داخلي / حسب المشروع</x:v>
      </x:c>
      <x:c r="L84" s="5" t="str">
        <x:v>خدمة مؤكدة؛ سجل إعلامي تفصيلي غير مثبت</x:v>
      </x:c>
      <x:c r="M84" s="5" t="str">
        <x:v>البروفايل ص7 ومشاريع المعارض</x:v>
      </x:c>
      <x:c r="N84" s="5" t="str">
        <x:v>https://drive.google.com/file/d/1tpDQzQsDgzfT8XoFyGsH8ZkER23eKO40/view</x:v>
      </x:c>
    </x:row>
    <x:row r="85" ht="78" customHeight="1">
      <x:c r="A85" s="5" t="str">
        <x:v>INF-01</x:v>
      </x:c>
      <x:c r="B85" s="5" t="str">
        <x:v>التسويق عبر المؤثرين</x:v>
      </x:c>
      <x:c r="C85" s="5" t="str">
        <x:v>سجل المؤثر</x:v>
      </x:c>
      <x:c r="D85" s="5" t="str">
        <x:v>هوية وتخصص وقنوات وجمهور ووكيل ووسائل اتصال موثقة.</x:v>
      </x:c>
      <x:c r="E85" s="5" t="str">
        <x:v>مدير المؤثرين / العلاقات</x:v>
      </x:c>
      <x:c r="F85" s="5" t="str">
        <x:v>P1</x:v>
      </x:c>
      <x:c r="G85" s="5" t="str">
        <x:v>التخصصات</x:v>
      </x:c>
      <x:c r="H85" s="5" t="str">
        <x:v>مقترح للاعتماد</x:v>
      </x:c>
      <x:c r="I85" s="5" t="str">
        <x:v>منع تكرار المؤثر بأسماء حسابات مختلفة دون ربط.</x:v>
      </x:c>
      <x:c r="J85" s="5" t="str">
        <x:v>هوية موحدة + بيانات مرجعية + موافقات + مالك إجراء</x:v>
      </x:c>
      <x:c r="K85" s="5" t="str">
        <x:v>داخلي / حسب المشروع</x:v>
      </x:c>
      <x:c r="L85" s="5" t="str">
        <x:v>خدمة كبيرة في البروفايل؛ وحدة متخصصة غير مثبتة</x:v>
      </x:c>
      <x:c r="M85" s="5" t="str">
        <x:v>البروفايل ص6-7</x:v>
      </x:c>
      <x:c r="N85" s="5" t="str">
        <x:v>https://drive.google.com/file/d/1tpDQzQsDgzfT8XoFyGsH8ZkER23eKO40/view</x:v>
      </x:c>
    </x:row>
    <x:row r="86" ht="78" customHeight="1">
      <x:c r="A86" s="5" t="str">
        <x:v>INF-02</x:v>
      </x:c>
      <x:c r="B86" s="5" t="str">
        <x:v>التسويق عبر المؤثرين</x:v>
      </x:c>
      <x:c r="C86" s="5" t="str">
        <x:v>التحقق والتأهيل</x:v>
      </x:c>
      <x:c r="D86" s="5" t="str">
        <x:v>سجل صلاحية المستندات والتراخيص المطلوبة وفق الحالة والتاريخ.</x:v>
      </x:c>
      <x:c r="E86" s="5" t="str">
        <x:v>مدير المؤثرين / العلاقات</x:v>
      </x:c>
      <x:c r="F86" s="5" t="str">
        <x:v>P1</x:v>
      </x:c>
      <x:c r="G86" s="5" t="str">
        <x:v>التخصصات</x:v>
      </x:c>
      <x:c r="H86" s="5" t="str">
        <x:v>مقترح للاعتماد</x:v>
      </x:c>
      <x:c r="I86" s="5" t="str">
        <x:v>المتطلبات النظامية تحددها مراجعة قانونية مؤرخة لا افتراض موحد.</x:v>
      </x:c>
      <x:c r="J86" s="5" t="str">
        <x:v>هوية موحدة + بيانات مرجعية + موافقات + مالك إجراء</x:v>
      </x:c>
      <x:c r="K86" s="5" t="str">
        <x:v>داخلي / حسب المشروع</x:v>
      </x:c>
      <x:c r="L86" s="5" t="str">
        <x:v>خدمة كبيرة في البروفايل؛ وحدة متخصصة غير مثبتة</x:v>
      </x:c>
      <x:c r="M86" s="5" t="str">
        <x:v>البروفايل ص6-7</x:v>
      </x:c>
      <x:c r="N86" s="5" t="str">
        <x:v>https://drive.google.com/file/d/1tpDQzQsDgzfT8XoFyGsH8ZkER23eKO40/view</x:v>
      </x:c>
    </x:row>
    <x:row r="87" ht="78" customHeight="1">
      <x:c r="A87" s="5" t="str">
        <x:v>INF-03</x:v>
      </x:c>
      <x:c r="B87" s="5" t="str">
        <x:v>التسويق عبر المؤثرين</x:v>
      </x:c>
      <x:c r="C87" s="5" t="str">
        <x:v>قوائم الترشيح</x:v>
      </x:c>
      <x:c r="D87" s="5" t="str">
        <x:v>مقارنة الملاءمة والتكلفة والوصول والمخاطر والتعارض مع العلامات.</x:v>
      </x:c>
      <x:c r="E87" s="5" t="str">
        <x:v>مدير المؤثرين / العلاقات</x:v>
      </x:c>
      <x:c r="F87" s="5" t="str">
        <x:v>P1</x:v>
      </x:c>
      <x:c r="G87" s="5" t="str">
        <x:v>التخصصات</x:v>
      </x:c>
      <x:c r="H87" s="5" t="str">
        <x:v>مقترح للاعتماد</x:v>
      </x:c>
      <x:c r="I87" s="5" t="str">
        <x:v>اختيار المؤثر يحتفظ بمبرر وتقييم الحملة.</x:v>
      </x:c>
      <x:c r="J87" s="5" t="str">
        <x:v>هوية موحدة + بيانات مرجعية + موافقات + مالك إجراء</x:v>
      </x:c>
      <x:c r="K87" s="5" t="str">
        <x:v>داخلي / حسب المشروع</x:v>
      </x:c>
      <x:c r="L87" s="5" t="str">
        <x:v>خدمة كبيرة في البروفايل؛ وحدة متخصصة غير مثبتة</x:v>
      </x:c>
      <x:c r="M87" s="5" t="str">
        <x:v>البروفايل ص6-7</x:v>
      </x:c>
      <x:c r="N87" s="5" t="str">
        <x:v>https://drive.google.com/file/d/1tpDQzQsDgzfT8XoFyGsH8ZkER23eKO40/view</x:v>
      </x:c>
    </x:row>
    <x:row r="88" ht="78" customHeight="1">
      <x:c r="A88" s="5" t="str">
        <x:v>INF-04</x:v>
      </x:c>
      <x:c r="B88" s="5" t="str">
        <x:v>التسويق عبر المؤثرين</x:v>
      </x:c>
      <x:c r="C88" s="5" t="str">
        <x:v>التفاوض والعروض</x:v>
      </x:c>
      <x:c r="D88" s="5" t="str">
        <x:v>أسعار وعدد منشورات ومراجعات ومدة وحصرية وعمولة وسيط.</x:v>
      </x:c>
      <x:c r="E88" s="5" t="str">
        <x:v>مدير المؤثرين / العلاقات</x:v>
      </x:c>
      <x:c r="F88" s="5" t="str">
        <x:v>P1</x:v>
      </x:c>
      <x:c r="G88" s="5" t="str">
        <x:v>التخصصات</x:v>
      </x:c>
      <x:c r="H88" s="5" t="str">
        <x:v>مقترح للاعتماد</x:v>
      </x:c>
      <x:c r="I88" s="5" t="str">
        <x:v>لا يتبدل السعر بعد الاعتماد دون أمر تغيير.</x:v>
      </x:c>
      <x:c r="J88" s="5" t="str">
        <x:v>هوية موحدة + بيانات مرجعية + موافقات + مالك إجراء</x:v>
      </x:c>
      <x:c r="K88" s="5" t="str">
        <x:v>داخلي / حسب المشروع</x:v>
      </x:c>
      <x:c r="L88" s="5" t="str">
        <x:v>خدمة كبيرة في البروفايل؛ وحدة متخصصة غير مثبتة</x:v>
      </x:c>
      <x:c r="M88" s="5" t="str">
        <x:v>البروفايل ص6-7</x:v>
      </x:c>
      <x:c r="N88" s="5" t="str">
        <x:v>https://drive.google.com/file/d/1tpDQzQsDgzfT8XoFyGsH8ZkER23eKO40/view</x:v>
      </x:c>
    </x:row>
    <x:row r="89" ht="78" customHeight="1">
      <x:c r="A89" s="5" t="str">
        <x:v>INF-05</x:v>
      </x:c>
      <x:c r="B89" s="5" t="str">
        <x:v>التسويق عبر المؤثرين</x:v>
      </x:c>
      <x:c r="C89" s="5" t="str">
        <x:v>العقد والحقوق</x:v>
      </x:c>
      <x:c r="D89" s="5" t="str">
        <x:v>تحديد الاستخدام المدفوع وإعادة النشر والمدة والجغرافيا والإلغاء.</x:v>
      </x:c>
      <x:c r="E89" s="5" t="str">
        <x:v>مدير المؤثرين / العلاقات</x:v>
      </x:c>
      <x:c r="F89" s="5" t="str">
        <x:v>P2</x:v>
      </x:c>
      <x:c r="G89" s="5" t="str">
        <x:v>التخصصات</x:v>
      </x:c>
      <x:c r="H89" s="5" t="str">
        <x:v>مقترح للاعتماد</x:v>
      </x:c>
      <x:c r="I89" s="5" t="str">
        <x:v>لا تستخدم مادة المؤثر خارج الحقوق المسجلة.</x:v>
      </x:c>
      <x:c r="J89" s="5" t="str">
        <x:v>هوية موحدة + بيانات مرجعية + موافقات + مالك إجراء</x:v>
      </x:c>
      <x:c r="K89" s="5" t="str">
        <x:v>داخلي / حسب المشروع</x:v>
      </x:c>
      <x:c r="L89" s="5" t="str">
        <x:v>خدمة كبيرة في البروفايل؛ وحدة متخصصة غير مثبتة</x:v>
      </x:c>
      <x:c r="M89" s="5" t="str">
        <x:v>البروفايل ص6-7</x:v>
      </x:c>
      <x:c r="N89" s="5" t="str">
        <x:v>https://drive.google.com/file/d/1tpDQzQsDgzfT8XoFyGsH8ZkER23eKO40/view</x:v>
      </x:c>
    </x:row>
    <x:row r="90" ht="78" customHeight="1">
      <x:c r="A90" s="5" t="str">
        <x:v>INF-06</x:v>
      </x:c>
      <x:c r="B90" s="5" t="str">
        <x:v>التسويق عبر المؤثرين</x:v>
      </x:c>
      <x:c r="C90" s="5" t="str">
        <x:v>تكليف المحتوى</x:v>
      </x:c>
      <x:c r="D90" s="5" t="str">
        <x:v>brief ورسائل ومحظورات وإفصاح إعلاني وموعد تسليم.</x:v>
      </x:c>
      <x:c r="E90" s="5" t="str">
        <x:v>مدير المؤثرين / العلاقات</x:v>
      </x:c>
      <x:c r="F90" s="5" t="str">
        <x:v>P2</x:v>
      </x:c>
      <x:c r="G90" s="5" t="str">
        <x:v>التخصصات</x:v>
      </x:c>
      <x:c r="H90" s="5" t="str">
        <x:v>مقترح للاعتماد</x:v>
      </x:c>
      <x:c r="I90" s="5" t="str">
        <x:v>يقر المؤثر باستلام النسخة الحالية من التكليف.</x:v>
      </x:c>
      <x:c r="J90" s="5" t="str">
        <x:v>هوية موحدة + بيانات مرجعية + موافقات + مالك إجراء</x:v>
      </x:c>
      <x:c r="K90" s="5" t="str">
        <x:v>داخلي / حسب المشروع</x:v>
      </x:c>
      <x:c r="L90" s="5" t="str">
        <x:v>خدمة كبيرة في البروفايل؛ وحدة متخصصة غير مثبتة</x:v>
      </x:c>
      <x:c r="M90" s="5" t="str">
        <x:v>البروفايل ص6-7</x:v>
      </x:c>
      <x:c r="N90" s="5" t="str">
        <x:v>https://drive.google.com/file/d/1tpDQzQsDgzfT8XoFyGsH8ZkER23eKO40/view</x:v>
      </x:c>
    </x:row>
    <x:row r="91" ht="78" customHeight="1">
      <x:c r="A91" s="5" t="str">
        <x:v>INF-07</x:v>
      </x:c>
      <x:c r="B91" s="5" t="str">
        <x:v>التسويق عبر المؤثرين</x:v>
      </x:c>
      <x:c r="C91" s="5" t="str">
        <x:v>الاعتماد قبل النشر</x:v>
      </x:c>
      <x:c r="D91" s="5" t="str">
        <x:v>مراجعة المحتوى داخليًا ثم من العميل حيث يلزم.</x:v>
      </x:c>
      <x:c r="E91" s="5" t="str">
        <x:v>مدير المؤثرين / العلاقات</x:v>
      </x:c>
      <x:c r="F91" s="5" t="str">
        <x:v>P2</x:v>
      </x:c>
      <x:c r="G91" s="5" t="str">
        <x:v>التخصصات</x:v>
      </x:c>
      <x:c r="H91" s="5" t="str">
        <x:v>مقترح للاعتماد</x:v>
      </x:c>
      <x:c r="I91" s="5" t="str">
        <x:v>لا يعد نشرًا معتمدًا مجرد رفع مسودة فيديو.</x:v>
      </x:c>
      <x:c r="J91" s="5" t="str">
        <x:v>هوية موحدة + بيانات مرجعية + موافقات + مالك إجراء</x:v>
      </x:c>
      <x:c r="K91" s="5" t="str">
        <x:v>داخلي / حسب المشروع</x:v>
      </x:c>
      <x:c r="L91" s="5" t="str">
        <x:v>خدمة كبيرة في البروفايل؛ وحدة متخصصة غير مثبتة</x:v>
      </x:c>
      <x:c r="M91" s="5" t="str">
        <x:v>البروفايل ص6-7</x:v>
      </x:c>
      <x:c r="N91" s="5" t="str">
        <x:v>https://drive.google.com/file/d/1tpDQzQsDgzfT8XoFyGsH8ZkER23eKO40/view</x:v>
      </x:c>
    </x:row>
    <x:row r="92" ht="78" customHeight="1">
      <x:c r="A92" s="5" t="str">
        <x:v>INF-08</x:v>
      </x:c>
      <x:c r="B92" s="5" t="str">
        <x:v>التسويق عبر المؤثرين</x:v>
      </x:c>
      <x:c r="C92" s="5" t="str">
        <x:v>إثبات التنفيذ</x:v>
      </x:c>
      <x:c r="D92" s="5" t="str">
        <x:v>روابط ومنشورات ولقطات وتاريخ ظهور وبقاء المحتوى.</x:v>
      </x:c>
      <x:c r="E92" s="5" t="str">
        <x:v>مدير المؤثرين / العلاقات</x:v>
      </x:c>
      <x:c r="F92" s="5" t="str">
        <x:v>P2</x:v>
      </x:c>
      <x:c r="G92" s="5" t="str">
        <x:v>التخصصات</x:v>
      </x:c>
      <x:c r="H92" s="5" t="str">
        <x:v>مقترح للاعتماد</x:v>
      </x:c>
      <x:c r="I92" s="5" t="str">
        <x:v>لا يطلق استحقاق المورد دون تحقق من المخرجات المتعاقدة.</x:v>
      </x:c>
      <x:c r="J92" s="5" t="str">
        <x:v>هوية موحدة + بيانات مرجعية + موافقات + مالك إجراء</x:v>
      </x:c>
      <x:c r="K92" s="5" t="str">
        <x:v>داخلي / حسب المشروع</x:v>
      </x:c>
      <x:c r="L92" s="5" t="str">
        <x:v>خدمة كبيرة في البروفايل؛ وحدة متخصصة غير مثبتة</x:v>
      </x:c>
      <x:c r="M92" s="5" t="str">
        <x:v>البروفايل ص6-7</x:v>
      </x:c>
      <x:c r="N92" s="5" t="str">
        <x:v>https://drive.google.com/file/d/1tpDQzQsDgzfT8XoFyGsH8ZkER23eKO40/view</x:v>
      </x:c>
    </x:row>
    <x:row r="93" ht="78" customHeight="1">
      <x:c r="A93" s="5" t="str">
        <x:v>INF-09</x:v>
      </x:c>
      <x:c r="B93" s="5" t="str">
        <x:v>التسويق عبر المؤثرين</x:v>
      </x:c>
      <x:c r="C93" s="5" t="str">
        <x:v>القياس والمطابقة</x:v>
      </x:c>
      <x:c r="D93" s="5" t="str">
        <x:v>جمع نتائج من مصادر موثقة ومقارنتها بالتكليف والسعر.</x:v>
      </x:c>
      <x:c r="E93" s="5" t="str">
        <x:v>مدير المؤثرين / العلاقات</x:v>
      </x:c>
      <x:c r="F93" s="5" t="str">
        <x:v>P2</x:v>
      </x:c>
      <x:c r="G93" s="5" t="str">
        <x:v>التخصصات</x:v>
      </x:c>
      <x:c r="H93" s="5" t="str">
        <x:v>مقترح للاعتماد</x:v>
      </x:c>
      <x:c r="I93" s="5" t="str">
        <x:v>تمييز البيانات المصرح بها ذاتيًا عن بيانات المنصة.</x:v>
      </x:c>
      <x:c r="J93" s="5" t="str">
        <x:v>هوية موحدة + بيانات مرجعية + موافقات + مالك إجراء</x:v>
      </x:c>
      <x:c r="K93" s="5" t="str">
        <x:v>داخلي / حسب المشروع</x:v>
      </x:c>
      <x:c r="L93" s="5" t="str">
        <x:v>خدمة كبيرة في البروفايل؛ وحدة متخصصة غير مثبتة</x:v>
      </x:c>
      <x:c r="M93" s="5" t="str">
        <x:v>البروفايل ص6-7</x:v>
      </x:c>
      <x:c r="N93" s="5" t="str">
        <x:v>https://drive.google.com/file/d/1tpDQzQsDgzfT8XoFyGsH8ZkER23eKO40/view</x:v>
      </x:c>
    </x:row>
    <x:row r="94" ht="78" customHeight="1">
      <x:c r="A94" s="5" t="str">
        <x:v>INF-10</x:v>
      </x:c>
      <x:c r="B94" s="5" t="str">
        <x:v>التسويق عبر المؤثرين</x:v>
      </x:c>
      <x:c r="C94" s="5" t="str">
        <x:v>السداد والتقييم</x:v>
      </x:c>
      <x:c r="D94" s="5" t="str">
        <x:v>ربط عقد ومخرج وفاتورة وحساب بنكي وتقييم لاحق.</x:v>
      </x:c>
      <x:c r="E94" s="5" t="str">
        <x:v>مدير المؤثرين / العلاقات</x:v>
      </x:c>
      <x:c r="F94" s="5" t="str">
        <x:v>P2</x:v>
      </x:c>
      <x:c r="G94" s="5" t="str">
        <x:v>التخصصات</x:v>
      </x:c>
      <x:c r="H94" s="5" t="str">
        <x:v>مقترح للاعتماد</x:v>
      </x:c>
      <x:c r="I94" s="5" t="str">
        <x:v>تغيير الحساب البنكي يخضع لتحقق مستقل قبل الدفع.</x:v>
      </x:c>
      <x:c r="J94" s="5" t="str">
        <x:v>هوية موحدة + بيانات مرجعية + موافقات + مالك إجراء</x:v>
      </x:c>
      <x:c r="K94" s="5" t="str">
        <x:v>داخلي / حسب المشروع</x:v>
      </x:c>
      <x:c r="L94" s="5" t="str">
        <x:v>خدمة كبيرة في البروفايل؛ وحدة متخصصة غير مثبتة</x:v>
      </x:c>
      <x:c r="M94" s="5" t="str">
        <x:v>البروفايل ص6-7</x:v>
      </x:c>
      <x:c r="N94" s="5" t="str">
        <x:v>https://drive.google.com/file/d/1tpDQzQsDgzfT8XoFyGsH8ZkER23eKO40/view</x:v>
      </x:c>
    </x:row>
    <x:row r="95" ht="78" customHeight="1">
      <x:c r="A95" s="5" t="str">
        <x:v>PRO-01</x:v>
      </x:c>
      <x:c r="B95" s="5" t="str">
        <x:v>الإنتاج المرئي والفعاليات</x:v>
      </x:c>
      <x:c r="C95" s="5" t="str">
        <x:v>ما قبل الإنتاج</x:v>
      </x:c>
      <x:c r="D95" s="5" t="str">
        <x:v>نص ومعالجة ولوحات قصصية وميزانية وخطة تصوير.</x:v>
      </x:c>
      <x:c r="E95" s="5" t="str">
        <x:v>مدير الإنتاج / تشغيل الفعاليات</x:v>
      </x:c>
      <x:c r="F95" s="5" t="str">
        <x:v>P1</x:v>
      </x:c>
      <x:c r="G95" s="5" t="str">
        <x:v>التخصصات</x:v>
      </x:c>
      <x:c r="H95" s="5" t="str">
        <x:v>مقترح للاعتماد</x:v>
      </x:c>
      <x:c r="I95" s="5" t="str">
        <x:v>لا يحجز تصوير قبل اعتماد المعالجة والميزانية المطلوبة.</x:v>
      </x:c>
      <x:c r="J95" s="5" t="str">
        <x:v>هوية موحدة + بيانات مرجعية + موافقات + مالك إجراء</x:v>
      </x:c>
      <x:c r="K95" s="5" t="str">
        <x:v>داخلي / حسب المشروع</x:v>
      </x:c>
      <x:c r="L95" s="5" t="str">
        <x:v>خدمة مؤكدة؛ وحدات تخصصية غير مثبتة</x:v>
      </x:c>
      <x:c r="M95" s="5" t="str">
        <x:v>البروفايل ص7 و53-55</x:v>
      </x:c>
      <x:c r="N95" s="5" t="str">
        <x:v>https://drive.google.com/file/d/1tpDQzQsDgzfT8XoFyGsH8ZkER23eKO40/view</x:v>
      </x:c>
    </x:row>
    <x:row r="96" ht="78" customHeight="1">
      <x:c r="A96" s="5" t="str">
        <x:v>PRO-02</x:v>
      </x:c>
      <x:c r="B96" s="5" t="str">
        <x:v>الإنتاج المرئي والفعاليات</x:v>
      </x:c>
      <x:c r="C96" s="5" t="str">
        <x:v>الطاقم والمستقلون</x:v>
      </x:c>
      <x:c r="D96" s="5" t="str">
        <x:v>إدارة المخرج والمصور والمونتير والمورد والعقد والتكلفة.</x:v>
      </x:c>
      <x:c r="E96" s="5" t="str">
        <x:v>مدير الإنتاج / تشغيل الفعاليات</x:v>
      </x:c>
      <x:c r="F96" s="5" t="str">
        <x:v>P1</x:v>
      </x:c>
      <x:c r="G96" s="5" t="str">
        <x:v>التخصصات</x:v>
      </x:c>
      <x:c r="H96" s="5" t="str">
        <x:v>مقترح للاعتماد</x:v>
      </x:c>
      <x:c r="I96" s="5" t="str">
        <x:v>كل فرد له ارتباط بالمشروع وحقوق وموعد واضح.</x:v>
      </x:c>
      <x:c r="J96" s="5" t="str">
        <x:v>هوية موحدة + بيانات مرجعية + موافقات + مالك إجراء</x:v>
      </x:c>
      <x:c r="K96" s="5" t="str">
        <x:v>داخلي / حسب المشروع</x:v>
      </x:c>
      <x:c r="L96" s="5" t="str">
        <x:v>خدمة مؤكدة؛ وحدات تخصصية غير مثبتة</x:v>
      </x:c>
      <x:c r="M96" s="5" t="str">
        <x:v>البروفايل ص7 و53-55</x:v>
      </x:c>
      <x:c r="N96" s="5" t="str">
        <x:v>https://drive.google.com/file/d/1tpDQzQsDgzfT8XoFyGsH8ZkER23eKO40/view</x:v>
      </x:c>
    </x:row>
    <x:row r="97" ht="78" customHeight="1">
      <x:c r="A97" s="5" t="str">
        <x:v>PRO-03</x:v>
      </x:c>
      <x:c r="B97" s="5" t="str">
        <x:v>الإنتاج المرئي والفعاليات</x:v>
      </x:c>
      <x:c r="C97" s="5" t="str">
        <x:v>المواقع والتصاريح</x:v>
      </x:c>
      <x:c r="D97" s="5" t="str">
        <x:v>حجز الموقع والموافقات والسلامة والدخول والمواقف.</x:v>
      </x:c>
      <x:c r="E97" s="5" t="str">
        <x:v>مدير الإنتاج / تشغيل الفعاليات</x:v>
      </x:c>
      <x:c r="F97" s="5" t="str">
        <x:v>P1</x:v>
      </x:c>
      <x:c r="G97" s="5" t="str">
        <x:v>التخصصات</x:v>
      </x:c>
      <x:c r="H97" s="5" t="str">
        <x:v>مقترح للاعتماد</x:v>
      </x:c>
      <x:c r="I97" s="5" t="str">
        <x:v>لا يصدر جدول تصوير نهائي مع تصريح لازم منتهي.</x:v>
      </x:c>
      <x:c r="J97" s="5" t="str">
        <x:v>هوية موحدة + بيانات مرجعية + موافقات + مالك إجراء</x:v>
      </x:c>
      <x:c r="K97" s="5" t="str">
        <x:v>داخلي / حسب المشروع</x:v>
      </x:c>
      <x:c r="L97" s="5" t="str">
        <x:v>خدمة مؤكدة؛ وحدات تخصصية غير مثبتة</x:v>
      </x:c>
      <x:c r="M97" s="5" t="str">
        <x:v>البروفايل ص7 و53-55</x:v>
      </x:c>
      <x:c r="N97" s="5" t="str">
        <x:v>https://drive.google.com/file/d/1tpDQzQsDgzfT8XoFyGsH8ZkER23eKO40/view</x:v>
      </x:c>
    </x:row>
    <x:row r="98" ht="78" customHeight="1">
      <x:c r="A98" s="5" t="str">
        <x:v>PRO-04</x:v>
      </x:c>
      <x:c r="B98" s="5" t="str">
        <x:v>الإنتاج المرئي والفعاليات</x:v>
      </x:c>
      <x:c r="C98" s="5" t="str">
        <x:v>المعدات</x:v>
      </x:c>
      <x:c r="D98" s="5" t="str">
        <x:v>حجز المعدات والعهد والفحص والتأمين والاستلام والإعادة.</x:v>
      </x:c>
      <x:c r="E98" s="5" t="str">
        <x:v>مدير الإنتاج / تشغيل الفعاليات</x:v>
      </x:c>
      <x:c r="F98" s="5" t="str">
        <x:v>P1</x:v>
      </x:c>
      <x:c r="G98" s="5" t="str">
        <x:v>التخصصات</x:v>
      </x:c>
      <x:c r="H98" s="5" t="str">
        <x:v>مقترح للاعتماد</x:v>
      </x:c>
      <x:c r="I98" s="5" t="str">
        <x:v>لا يحجز أصل مخصص لموقع آخر في الفترة نفسها.</x:v>
      </x:c>
      <x:c r="J98" s="5" t="str">
        <x:v>هوية موحدة + بيانات مرجعية + موافقات + مالك إجراء</x:v>
      </x:c>
      <x:c r="K98" s="5" t="str">
        <x:v>داخلي / حسب المشروع</x:v>
      </x:c>
      <x:c r="L98" s="5" t="str">
        <x:v>خدمة مؤكدة؛ وحدات تخصصية غير مثبتة</x:v>
      </x:c>
      <x:c r="M98" s="5" t="str">
        <x:v>البروفايل ص7 و53-55</x:v>
      </x:c>
      <x:c r="N98" s="5" t="str">
        <x:v>https://drive.google.com/file/d/1tpDQzQsDgzfT8XoFyGsH8ZkER23eKO40/view</x:v>
      </x:c>
    </x:row>
    <x:row r="99" ht="78" customHeight="1">
      <x:c r="A99" s="5" t="str">
        <x:v>PRO-05</x:v>
      </x:c>
      <x:c r="B99" s="5" t="str">
        <x:v>الإنتاج المرئي والفعاليات</x:v>
      </x:c>
      <x:c r="C99" s="5" t="str">
        <x:v>جدول التصوير</x:v>
      </x:c>
      <x:c r="D99" s="5" t="str">
        <x:v>إنتاج call sheet بمواعيد واتصالات وأدوار ومواقع ونسخة.</x:v>
      </x:c>
      <x:c r="E99" s="5" t="str">
        <x:v>مدير الإنتاج / تشغيل الفعاليات</x:v>
      </x:c>
      <x:c r="F99" s="5" t="str">
        <x:v>P2</x:v>
      </x:c>
      <x:c r="G99" s="5" t="str">
        <x:v>التخصصات</x:v>
      </x:c>
      <x:c r="H99" s="5" t="str">
        <x:v>مقترح للاعتماد</x:v>
      </x:c>
      <x:c r="I99" s="5" t="str">
        <x:v>أي تغيير جوهري يصل للطاقم ويؤكد استلامه.</x:v>
      </x:c>
      <x:c r="J99" s="5" t="str">
        <x:v>هوية موحدة + بيانات مرجعية + موافقات + مالك إجراء</x:v>
      </x:c>
      <x:c r="K99" s="5" t="str">
        <x:v>داخلي / حسب المشروع</x:v>
      </x:c>
      <x:c r="L99" s="5" t="str">
        <x:v>خدمة مؤكدة؛ وحدات تخصصية غير مثبتة</x:v>
      </x:c>
      <x:c r="M99" s="5" t="str">
        <x:v>البروفايل ص7 و53-55</x:v>
      </x:c>
      <x:c r="N99" s="5" t="str">
        <x:v>https://drive.google.com/file/d/1tpDQzQsDgzfT8XoFyGsH8ZkER23eKO40/view</x:v>
      </x:c>
    </x:row>
    <x:row r="100" ht="78" customHeight="1">
      <x:c r="A100" s="5" t="str">
        <x:v>PRO-06</x:v>
      </x:c>
      <x:c r="B100" s="5" t="str">
        <x:v>الإنتاج المرئي والفعاليات</x:v>
      </x:c>
      <x:c r="C100" s="5" t="str">
        <x:v>حقوق المشاركين</x:v>
      </x:c>
      <x:c r="D100" s="5" t="str">
        <x:v>نماذج ظهور وتصوير وموسيقى وخطوط ومادة أرشيفية.</x:v>
      </x:c>
      <x:c r="E100" s="5" t="str">
        <x:v>مدير الإنتاج / تشغيل الفعاليات</x:v>
      </x:c>
      <x:c r="F100" s="5" t="str">
        <x:v>P2</x:v>
      </x:c>
      <x:c r="G100" s="5" t="str">
        <x:v>التخصصات</x:v>
      </x:c>
      <x:c r="H100" s="5" t="str">
        <x:v>مقترح للاعتماد</x:v>
      </x:c>
      <x:c r="I100" s="5" t="str">
        <x:v>لا تسلم مادة تفتقر لتصريح استخدام مطلوب.</x:v>
      </x:c>
      <x:c r="J100" s="5" t="str">
        <x:v>هوية موحدة + بيانات مرجعية + موافقات + مالك إجراء</x:v>
      </x:c>
      <x:c r="K100" s="5" t="str">
        <x:v>داخلي / حسب المشروع</x:v>
      </x:c>
      <x:c r="L100" s="5" t="str">
        <x:v>خدمة مؤكدة؛ وحدات تخصصية غير مثبتة</x:v>
      </x:c>
      <x:c r="M100" s="5" t="str">
        <x:v>البروفايل ص7 و53-55</x:v>
      </x:c>
      <x:c r="N100" s="5" t="str">
        <x:v>https://drive.google.com/file/d/1tpDQzQsDgzfT8XoFyGsH8ZkER23eKO40/view</x:v>
      </x:c>
    </x:row>
    <x:row r="101" ht="78" customHeight="1">
      <x:c r="A101" s="5" t="str">
        <x:v>PRO-07</x:v>
      </x:c>
      <x:c r="B101" s="5" t="str">
        <x:v>الإنتاج المرئي والفعاليات</x:v>
      </x:c>
      <x:c r="C101" s="5" t="str">
        <x:v>المونتاج والمراجعة</x:v>
      </x:c>
      <x:c r="D101" s="5" t="str">
        <x:v>تعليقات بزمن الفيديو ومراحل مونتاج وصوت ولون وترجمة.</x:v>
      </x:c>
      <x:c r="E101" s="5" t="str">
        <x:v>مدير الإنتاج / تشغيل الفعاليات</x:v>
      </x:c>
      <x:c r="F101" s="5" t="str">
        <x:v>P2</x:v>
      </x:c>
      <x:c r="G101" s="5" t="str">
        <x:v>التخصصات</x:v>
      </x:c>
      <x:c r="H101" s="5" t="str">
        <x:v>مقترح للاعتماد</x:v>
      </x:c>
      <x:c r="I101" s="5" t="str">
        <x:v>تعليق النسخة السابقة لا يختلط بالنسخة الجديدة.</x:v>
      </x:c>
      <x:c r="J101" s="5" t="str">
        <x:v>هوية موحدة + بيانات مرجعية + موافقات + مالك إجراء</x:v>
      </x:c>
      <x:c r="K101" s="5" t="str">
        <x:v>داخلي / حسب المشروع</x:v>
      </x:c>
      <x:c r="L101" s="5" t="str">
        <x:v>خدمة مؤكدة؛ وحدات تخصصية غير مثبتة</x:v>
      </x:c>
      <x:c r="M101" s="5" t="str">
        <x:v>البروفايل ص7 و53-55</x:v>
      </x:c>
      <x:c r="N101" s="5" t="str">
        <x:v>https://drive.google.com/file/d/1tpDQzQsDgzfT8XoFyGsH8ZkER23eKO40/view</x:v>
      </x:c>
    </x:row>
    <x:row r="102" ht="78" customHeight="1">
      <x:c r="A102" s="5" t="str">
        <x:v>PRO-08</x:v>
      </x:c>
      <x:c r="B102" s="5" t="str">
        <x:v>الإنتاج المرئي والفعاليات</x:v>
      </x:c>
      <x:c r="C102" s="5" t="str">
        <x:v>تشغيل الفعاليات</x:v>
      </x:c>
      <x:c r="D102" s="5" t="str">
        <x:v>run of show وضيوف وضيافة وبروفات وتجهيزات وموردون وخطة بديلة.</x:v>
      </x:c>
      <x:c r="E102" s="5" t="str">
        <x:v>مدير الإنتاج / تشغيل الفعاليات</x:v>
      </x:c>
      <x:c r="F102" s="5" t="str">
        <x:v>P2</x:v>
      </x:c>
      <x:c r="G102" s="5" t="str">
        <x:v>التخصصات</x:v>
      </x:c>
      <x:c r="H102" s="5" t="str">
        <x:v>مقترح للاعتماد</x:v>
      </x:c>
      <x:c r="I102" s="5" t="str">
        <x:v>يوجد مسؤول وبديل لكل فقرة حرجة وسجل جاهزية.</x:v>
      </x:c>
      <x:c r="J102" s="5" t="str">
        <x:v>هوية موحدة + بيانات مرجعية + موافقات + مالك إجراء</x:v>
      </x:c>
      <x:c r="K102" s="5" t="str">
        <x:v>داخلي / حسب المشروع</x:v>
      </x:c>
      <x:c r="L102" s="5" t="str">
        <x:v>خدمة مؤكدة؛ وحدات تخصصية غير مثبتة</x:v>
      </x:c>
      <x:c r="M102" s="5" t="str">
        <x:v>البروفايل ص7 و53-55</x:v>
      </x:c>
      <x:c r="N102" s="5" t="str">
        <x:v>https://drive.google.com/file/d/1tpDQzQsDgzfT8XoFyGsH8ZkER23eKO40/view</x:v>
      </x:c>
    </x:row>
    <x:row r="103" ht="78" customHeight="1">
      <x:c r="A103" s="5" t="str">
        <x:v>PRO-09</x:v>
      </x:c>
      <x:c r="B103" s="5" t="str">
        <x:v>الإنتاج المرئي والفعاليات</x:v>
      </x:c>
      <x:c r="C103" s="5" t="str">
        <x:v>التسليم والبث</x:v>
      </x:c>
      <x:c r="D103" s="5" t="str">
        <x:v>فحص الصيغة والدقة والصوت والترجمة والنسخ الاحتياطية.</x:v>
      </x:c>
      <x:c r="E103" s="5" t="str">
        <x:v>مدير الإنتاج / تشغيل الفعاليات</x:v>
      </x:c>
      <x:c r="F103" s="5" t="str">
        <x:v>P2</x:v>
      </x:c>
      <x:c r="G103" s="5" t="str">
        <x:v>التخصصات</x:v>
      </x:c>
      <x:c r="H103" s="5" t="str">
        <x:v>مقترح للاعتماد</x:v>
      </x:c>
      <x:c r="I103" s="5" t="str">
        <x:v>نجاح قائمة تحقق تقنية وتجربة بث قبل الحدث.</x:v>
      </x:c>
      <x:c r="J103" s="5" t="str">
        <x:v>هوية موحدة + بيانات مرجعية + موافقات + مالك إجراء</x:v>
      </x:c>
      <x:c r="K103" s="5" t="str">
        <x:v>داخلي / حسب المشروع</x:v>
      </x:c>
      <x:c r="L103" s="5" t="str">
        <x:v>خدمة مؤكدة؛ وحدات تخصصية غير مثبتة</x:v>
      </x:c>
      <x:c r="M103" s="5" t="str">
        <x:v>البروفايل ص7 و53-55</x:v>
      </x:c>
      <x:c r="N103" s="5" t="str">
        <x:v>https://drive.google.com/file/d/1tpDQzQsDgzfT8XoFyGsH8ZkER23eKO40/view</x:v>
      </x:c>
    </x:row>
    <x:row r="104" ht="78" customHeight="1">
      <x:c r="A104" s="5" t="str">
        <x:v>PRO-10</x:v>
      </x:c>
      <x:c r="B104" s="5" t="str">
        <x:v>الإنتاج المرئي والفعاليات</x:v>
      </x:c>
      <x:c r="C104" s="5" t="str">
        <x:v>أرشيف الإنتاج</x:v>
      </x:c>
      <x:c r="D104" s="5" t="str">
        <x:v>فصل الخام وملفات المشروع والنسخة النهائية والحقوق والاحتفاظ.</x:v>
      </x:c>
      <x:c r="E104" s="5" t="str">
        <x:v>مدير الإنتاج / تشغيل الفعاليات</x:v>
      </x:c>
      <x:c r="F104" s="5" t="str">
        <x:v>P2</x:v>
      </x:c>
      <x:c r="G104" s="5" t="str">
        <x:v>التخصصات</x:v>
      </x:c>
      <x:c r="H104" s="5" t="str">
        <x:v>مقترح للاعتماد</x:v>
      </x:c>
      <x:c r="I104" s="5" t="str">
        <x:v>يمكن استعادة مشروع إنتاج كامل من نسخة احتياطية مختبرة.</x:v>
      </x:c>
      <x:c r="J104" s="5" t="str">
        <x:v>هوية موحدة + بيانات مرجعية + موافقات + مالك إجراء</x:v>
      </x:c>
      <x:c r="K104" s="5" t="str">
        <x:v>داخلي / حسب المشروع</x:v>
      </x:c>
      <x:c r="L104" s="5" t="str">
        <x:v>خدمة مؤكدة؛ وحدات تخصصية غير مثبتة</x:v>
      </x:c>
      <x:c r="M104" s="5" t="str">
        <x:v>البروفايل ص7 و53-55</x:v>
      </x:c>
      <x:c r="N104" s="5" t="str">
        <x:v>https://drive.google.com/file/d/1tpDQzQsDgzfT8XoFyGsH8ZkER23eKO40/view</x:v>
      </x:c>
    </x:row>
    <x:row r="105" ht="78" customHeight="1">
      <x:c r="A105" s="5" t="str">
        <x:v>HR-01</x:v>
      </x:c>
      <x:c r="B105" s="5" t="str">
        <x:v>رأس المال البشري — العمليات</x:v>
      </x:c>
      <x:c r="C105" s="5" t="str">
        <x:v>السجل الوظيفي</x:v>
      </x:c>
      <x:c r="D105" s="5" t="str">
        <x:v>ملف موظف بهوية ثابتة وكيان ومدير ومسمى ودرجة ومركز تكلفة وتاريخ سريان.</x:v>
      </x:c>
      <x:c r="E105" s="5" t="str">
        <x:v>مدير رأس المال البشري</x:v>
      </x:c>
      <x:c r="F105" s="5" t="str">
        <x:v>P1</x:v>
      </x:c>
      <x:c r="G105" s="5" t="str">
        <x:v>الأساس</x:v>
      </x:c>
      <x:c r="H105" s="5" t="str">
        <x:v>مقترح للاعتماد</x:v>
      </x:c>
      <x:c r="I105" s="5" t="str">
        <x:v>لا يحدث تغيير مسمى أو مدير دون نسخة تاريخية.</x:v>
      </x:c>
      <x:c r="J105" s="5" t="str">
        <x:v>هوية موحدة + بيانات مرجعية + موافقات + مالك إجراء</x:v>
      </x:c>
      <x:c r="K105" s="5" t="str">
        <x:v>حساس / صلاحية خاصة</x:v>
      </x:c>
      <x:c r="L105" s="5" t="str">
        <x:v>واجهات وجداول متعددة؛ التكامل والإجراءات غير مثبتة بالكامل</x:v>
      </x:c>
      <x:c r="M105" s="5" t="str">
        <x:v>بوابة 360 وHR</x:v>
      </x:c>
      <x:c r="N105" s="5" t="str">
        <x:v>https://lovable.dev/projects/33b3cb53-d107-4a33-86b4-f958b21171ad</x:v>
      </x:c>
    </x:row>
    <x:row r="106" ht="78" customHeight="1">
      <x:c r="A106" s="5" t="str">
        <x:v>HR-02</x:v>
      </x:c>
      <x:c r="B106" s="5" t="str">
        <x:v>رأس المال البشري — العمليات</x:v>
      </x:c>
      <x:c r="C106" s="5" t="str">
        <x:v>العقود والوثائق</x:v>
      </x:c>
      <x:c r="D106" s="5" t="str">
        <x:v>أنواع العقود والتجديد والإشعار والتجربة والوثائق وتواريخ الانتهاء.</x:v>
      </x:c>
      <x:c r="E106" s="5" t="str">
        <x:v>مدير رأس المال البشري</x:v>
      </x:c>
      <x:c r="F106" s="5" t="str">
        <x:v>P1</x:v>
      </x:c>
      <x:c r="G106" s="5" t="str">
        <x:v>الأساس</x:v>
      </x:c>
      <x:c r="H106" s="5" t="str">
        <x:v>مقترح للاعتماد</x:v>
      </x:c>
      <x:c r="I106" s="5" t="str">
        <x:v>تولد التنبيهات وفق العقد والقواعد السارية مع مستندها.</x:v>
      </x:c>
      <x:c r="J106" s="5" t="str">
        <x:v>هوية موحدة + بيانات مرجعية + موافقات + مالك إجراء</x:v>
      </x:c>
      <x:c r="K106" s="5" t="str">
        <x:v>حساس / صلاحية خاصة</x:v>
      </x:c>
      <x:c r="L106" s="5" t="str">
        <x:v>واجهات وجداول متعددة؛ التكامل والإجراءات غير مثبتة بالكامل</x:v>
      </x:c>
      <x:c r="M106" s="5" t="str">
        <x:v>بوابة 360 وHR</x:v>
      </x:c>
      <x:c r="N106" s="5" t="str">
        <x:v>https://lovable.dev/projects/33b3cb53-d107-4a33-86b4-f958b21171ad</x:v>
      </x:c>
    </x:row>
    <x:row r="107" ht="78" customHeight="1">
      <x:c r="A107" s="5" t="str">
        <x:v>HR-03</x:v>
      </x:c>
      <x:c r="B107" s="5" t="str">
        <x:v>رأس المال البشري — العمليات</x:v>
      </x:c>
      <x:c r="C107" s="5" t="str">
        <x:v>الحضور والاستثناءات</x:v>
      </x:c>
      <x:c r="D107" s="5" t="str">
        <x:v>وردية وتقويم وتسجيلات وإجازات ومهمات وطلب توضيح واعتماد.</x:v>
      </x:c>
      <x:c r="E107" s="5" t="str">
        <x:v>مدير رأس المال البشري</x:v>
      </x:c>
      <x:c r="F107" s="5" t="str">
        <x:v>P1</x:v>
      </x:c>
      <x:c r="G107" s="5" t="str">
        <x:v>الأساس</x:v>
      </x:c>
      <x:c r="H107" s="5" t="str">
        <x:v>مقترح للاعتماد</x:v>
      </x:c>
      <x:c r="I107" s="5" t="str">
        <x:v>السجل الناقص لا يتحول تلقائيًا إلى خصم أو مخالفة.</x:v>
      </x:c>
      <x:c r="J107" s="5" t="str">
        <x:v>هوية موحدة + بيانات مرجعية + موافقات + مالك إجراء</x:v>
      </x:c>
      <x:c r="K107" s="5" t="str">
        <x:v>حساس / صلاحية خاصة</x:v>
      </x:c>
      <x:c r="L107" s="5" t="str">
        <x:v>واجهات وجداول متعددة؛ التكامل والإجراءات غير مثبتة بالكامل</x:v>
      </x:c>
      <x:c r="M107" s="5" t="str">
        <x:v>بوابة 360 وHR</x:v>
      </x:c>
      <x:c r="N107" s="5" t="str">
        <x:v>https://lovable.dev/projects/33b3cb53-d107-4a33-86b4-f958b21171ad</x:v>
      </x:c>
    </x:row>
    <x:row r="108" ht="78" customHeight="1">
      <x:c r="A108" s="5" t="str">
        <x:v>HR-04</x:v>
      </x:c>
      <x:c r="B108" s="5" t="str">
        <x:v>رأس المال البشري — العمليات</x:v>
      </x:c>
      <x:c r="C108" s="5" t="str">
        <x:v>رصيد الإجازة</x:v>
      </x:c>
      <x:c r="D108" s="5" t="str">
        <x:v>دفتر حركات استحقاق واستخدام وترحيل وتسوية لكل سنة ونوع.</x:v>
      </x:c>
      <x:c r="E108" s="5" t="str">
        <x:v>مدير رأس المال البشري</x:v>
      </x:c>
      <x:c r="F108" s="5" t="str">
        <x:v>P1</x:v>
      </x:c>
      <x:c r="G108" s="5" t="str">
        <x:v>الأساس</x:v>
      </x:c>
      <x:c r="H108" s="5" t="str">
        <x:v>مقترح للاعتماد</x:v>
      </x:c>
      <x:c r="I108" s="5" t="str">
        <x:v>الرصيد يساوي افتتاحي زائد حركات قابلة للمراجعة.</x:v>
      </x:c>
      <x:c r="J108" s="5" t="str">
        <x:v>هوية موحدة + بيانات مرجعية + موافقات + مالك إجراء</x:v>
      </x:c>
      <x:c r="K108" s="5" t="str">
        <x:v>حساس / صلاحية خاصة</x:v>
      </x:c>
      <x:c r="L108" s="5" t="str">
        <x:v>واجهات وجداول متعددة؛ التكامل والإجراءات غير مثبتة بالكامل</x:v>
      </x:c>
      <x:c r="M108" s="5" t="str">
        <x:v>بوابة 360 وHR</x:v>
      </x:c>
      <x:c r="N108" s="5" t="str">
        <x:v>https://lovable.dev/projects/33b3cb53-d107-4a33-86b4-f958b21171ad</x:v>
      </x:c>
    </x:row>
    <x:row r="109" ht="78" customHeight="1">
      <x:c r="A109" s="5" t="str">
        <x:v>HR-05</x:v>
      </x:c>
      <x:c r="B109" s="5" t="str">
        <x:v>رأس المال البشري — العمليات</x:v>
      </x:c>
      <x:c r="C109" s="5" t="str">
        <x:v>الخدمات الذاتية</x:v>
      </x:c>
      <x:c r="D109" s="5" t="str">
        <x:v>خطابات وطلبات إجازة ومهمة وبيانات وتحديث حساب وفق الصلاحية.</x:v>
      </x:c>
      <x:c r="E109" s="5" t="str">
        <x:v>مدير رأس المال البشري</x:v>
      </x:c>
      <x:c r="F109" s="5" t="str">
        <x:v>P1</x:v>
      </x:c>
      <x:c r="G109" s="5" t="str">
        <x:v>الأساس</x:v>
      </x:c>
      <x:c r="H109" s="5" t="str">
        <x:v>مقترح للاعتماد</x:v>
      </x:c>
      <x:c r="I109" s="5" t="str">
        <x:v>يرى الموظف طلباته ووثائقه وحده وبآخر حالة صحيحة.</x:v>
      </x:c>
      <x:c r="J109" s="5" t="str">
        <x:v>هوية موحدة + بيانات مرجعية + موافقات + مالك إجراء</x:v>
      </x:c>
      <x:c r="K109" s="5" t="str">
        <x:v>حساس / صلاحية خاصة</x:v>
      </x:c>
      <x:c r="L109" s="5" t="str">
        <x:v>واجهات وجداول متعددة؛ التكامل والإجراءات غير مثبتة بالكامل</x:v>
      </x:c>
      <x:c r="M109" s="5" t="str">
        <x:v>بوابة 360 وHR</x:v>
      </x:c>
      <x:c r="N109" s="5" t="str">
        <x:v>https://lovable.dev/projects/33b3cb53-d107-4a33-86b4-f958b21171ad</x:v>
      </x:c>
    </x:row>
    <x:row r="110" ht="78" customHeight="1">
      <x:c r="A110" s="5" t="str">
        <x:v>HR-06</x:v>
      </x:c>
      <x:c r="B110" s="5" t="str">
        <x:v>رأس المال البشري — العمليات</x:v>
      </x:c>
      <x:c r="C110" s="5" t="str">
        <x:v>التغييرات الوظيفية</x:v>
      </x:c>
      <x:c r="D110" s="5" t="str">
        <x:v>ترقية وزيادة ونقل وتكليف مع أثر على الراتب والصلاحيات.</x:v>
      </x:c>
      <x:c r="E110" s="5" t="str">
        <x:v>مدير رأس المال البشري</x:v>
      </x:c>
      <x:c r="F110" s="5" t="str">
        <x:v>P1</x:v>
      </x:c>
      <x:c r="G110" s="5" t="str">
        <x:v>الأساس</x:v>
      </x:c>
      <x:c r="H110" s="5" t="str">
        <x:v>مقترح للاعتماد</x:v>
      </x:c>
      <x:c r="I110" s="5" t="str">
        <x:v>لا تطبق زيادة قبل تاريخ السريان أو قبل اكتمال الاعتماد.</x:v>
      </x:c>
      <x:c r="J110" s="5" t="str">
        <x:v>هوية موحدة + بيانات مرجعية + موافقات + مالك إجراء</x:v>
      </x:c>
      <x:c r="K110" s="5" t="str">
        <x:v>حساس / صلاحية خاصة</x:v>
      </x:c>
      <x:c r="L110" s="5" t="str">
        <x:v>واجهات وجداول متعددة؛ التكامل والإجراءات غير مثبتة بالكامل</x:v>
      </x:c>
      <x:c r="M110" s="5" t="str">
        <x:v>بوابة 360 وHR</x:v>
      </x:c>
      <x:c r="N110" s="5" t="str">
        <x:v>https://lovable.dev/projects/33b3cb53-d107-4a33-86b4-f958b21171ad</x:v>
      </x:c>
    </x:row>
    <x:row r="111" ht="78" customHeight="1">
      <x:c r="A111" s="5" t="str">
        <x:v>HR-07</x:v>
      </x:c>
      <x:c r="B111" s="5" t="str">
        <x:v>رأس المال البشري — العمليات</x:v>
      </x:c>
      <x:c r="C111" s="5" t="str">
        <x:v>علاقات الموظفين</x:v>
      </x:c>
      <x:c r="D111" s="5" t="str">
        <x:v>قضايا وتوضيحات وتحقيقات ومرفقات سرية وإجراءات معتمدة.</x:v>
      </x:c>
      <x:c r="E111" s="5" t="str">
        <x:v>مدير رأس المال البشري</x:v>
      </x:c>
      <x:c r="F111" s="5" t="str">
        <x:v>P1</x:v>
      </x:c>
      <x:c r="G111" s="5" t="str">
        <x:v>الأساس</x:v>
      </x:c>
      <x:c r="H111" s="5" t="str">
        <x:v>مقترح للاعتماد</x:v>
      </x:c>
      <x:c r="I111" s="5" t="str">
        <x:v>صلاحية القضية لا تمنح تلقائيًا لكل مدير أو مسؤول تقنية.</x:v>
      </x:c>
      <x:c r="J111" s="5" t="str">
        <x:v>هوية موحدة + بيانات مرجعية + موافقات + مالك إجراء</x:v>
      </x:c>
      <x:c r="K111" s="5" t="str">
        <x:v>حساس / صلاحية خاصة</x:v>
      </x:c>
      <x:c r="L111" s="5" t="str">
        <x:v>واجهات وجداول متعددة؛ التكامل والإجراءات غير مثبتة بالكامل</x:v>
      </x:c>
      <x:c r="M111" s="5" t="str">
        <x:v>بوابة 360 وHR</x:v>
      </x:c>
      <x:c r="N111" s="5" t="str">
        <x:v>https://lovable.dev/projects/33b3cb53-d107-4a33-86b4-f958b21171ad</x:v>
      </x:c>
    </x:row>
    <x:row r="112" ht="78" customHeight="1">
      <x:c r="A112" s="5" t="str">
        <x:v>HR-08</x:v>
      </x:c>
      <x:c r="B112" s="5" t="str">
        <x:v>رأس المال البشري — العمليات</x:v>
      </x:c>
      <x:c r="C112" s="5" t="str">
        <x:v>الانضمام</x:v>
      </x:c>
      <x:c r="D112" s="5" t="str">
        <x:v>قائمة جاهزية عقد وحساب وأجهزة وبطاقة وتهيئة وتدريب ومدير.</x:v>
      </x:c>
      <x:c r="E112" s="5" t="str">
        <x:v>مدير رأس المال البشري</x:v>
      </x:c>
      <x:c r="F112" s="5" t="str">
        <x:v>P1</x:v>
      </x:c>
      <x:c r="G112" s="5" t="str">
        <x:v>الأساس</x:v>
      </x:c>
      <x:c r="H112" s="5" t="str">
        <x:v>مقترح للاعتماد</x:v>
      </x:c>
      <x:c r="I112" s="5" t="str">
        <x:v>لا تعد رحلة الانضمام مكتملة لمجرد مشاهدة شاشة الترحيب.</x:v>
      </x:c>
      <x:c r="J112" s="5" t="str">
        <x:v>هوية موحدة + بيانات مرجعية + موافقات + مالك إجراء</x:v>
      </x:c>
      <x:c r="K112" s="5" t="str">
        <x:v>حساس / صلاحية خاصة</x:v>
      </x:c>
      <x:c r="L112" s="5" t="str">
        <x:v>واجهات وجداول متعددة؛ التكامل والإجراءات غير مثبتة بالكامل</x:v>
      </x:c>
      <x:c r="M112" s="5" t="str">
        <x:v>بوابة 360 وHR</x:v>
      </x:c>
      <x:c r="N112" s="5" t="str">
        <x:v>https://lovable.dev/projects/33b3cb53-d107-4a33-86b4-f958b21171ad</x:v>
      </x:c>
    </x:row>
    <x:row r="113" ht="78" customHeight="1">
      <x:c r="A113" s="5" t="str">
        <x:v>HR-09</x:v>
      </x:c>
      <x:c r="B113" s="5" t="str">
        <x:v>رأس المال البشري — العمليات</x:v>
      </x:c>
      <x:c r="C113" s="5" t="str">
        <x:v>الانتقال والمغادرة</x:v>
      </x:c>
      <x:c r="D113" s="5" t="str">
        <x:v>تسليم أعمال وعهد وإلغاء وصول ومستحقات وشهادة خبرة حسب الحالة.</x:v>
      </x:c>
      <x:c r="E113" s="5" t="str">
        <x:v>مدير رأس المال البشري</x:v>
      </x:c>
      <x:c r="F113" s="5" t="str">
        <x:v>P1</x:v>
      </x:c>
      <x:c r="G113" s="5" t="str">
        <x:v>الأساس</x:v>
      </x:c>
      <x:c r="H113" s="5" t="str">
        <x:v>مقترح للاعتماد</x:v>
      </x:c>
      <x:c r="I113" s="5" t="str">
        <x:v>إيقاف الوصول في الوقت المحدد لا ينتظر اكتمال التسوية المالية.</x:v>
      </x:c>
      <x:c r="J113" s="5" t="str">
        <x:v>هوية موحدة + بيانات مرجعية + موافقات + مالك إجراء</x:v>
      </x:c>
      <x:c r="K113" s="5" t="str">
        <x:v>حساس / صلاحية خاصة</x:v>
      </x:c>
      <x:c r="L113" s="5" t="str">
        <x:v>واجهات وجداول متعددة؛ التكامل والإجراءات غير مثبتة بالكامل</x:v>
      </x:c>
      <x:c r="M113" s="5" t="str">
        <x:v>بوابة 360 وHR</x:v>
      </x:c>
      <x:c r="N113" s="5" t="str">
        <x:v>https://lovable.dev/projects/33b3cb53-d107-4a33-86b4-f958b21171ad</x:v>
      </x:c>
    </x:row>
    <x:row r="114" ht="78" customHeight="1">
      <x:c r="A114" s="5" t="str">
        <x:v>HR-10</x:v>
      </x:c>
      <x:c r="B114" s="5" t="str">
        <x:v>رأس المال البشري — العمليات</x:v>
      </x:c>
      <x:c r="C114" s="5" t="str">
        <x:v>الامتثال والمتابعة</x:v>
      </x:c>
      <x:c r="D114" s="5" t="str">
        <x:v>قائمة معاملات قوى ومدد والتأمينات ومقيم بإثبات إنجاز ومسؤول.</x:v>
      </x:c>
      <x:c r="E114" s="5" t="str">
        <x:v>مدير رأس المال البشري</x:v>
      </x:c>
      <x:c r="F114" s="5" t="str">
        <x:v>P1</x:v>
      </x:c>
      <x:c r="G114" s="5" t="str">
        <x:v>الأساس</x:v>
      </x:c>
      <x:c r="H114" s="5" t="str">
        <x:v>مقترح للاعتماد</x:v>
      </x:c>
      <x:c r="I114" s="5" t="str">
        <x:v>لا تعرض المعاملة كمنفذة لدى الجهة الرسمية دون مرجع إثبات.</x:v>
      </x:c>
      <x:c r="J114" s="5" t="str">
        <x:v>هوية موحدة + بيانات مرجعية + موافقات + مالك إجراء</x:v>
      </x:c>
      <x:c r="K114" s="5" t="str">
        <x:v>حساس / صلاحية خاصة</x:v>
      </x:c>
      <x:c r="L114" s="5" t="str">
        <x:v>واجهات وجداول متعددة؛ التكامل والإجراءات غير مثبتة بالكامل</x:v>
      </x:c>
      <x:c r="M114" s="5" t="str">
        <x:v>بوابة 360 وHR</x:v>
      </x:c>
      <x:c r="N114" s="5" t="str">
        <x:v>https://lovable.dev/projects/33b3cb53-d107-4a33-86b4-f958b21171ad</x:v>
      </x:c>
    </x:row>
    <x:row r="115" ht="78" customHeight="1">
      <x:c r="A115" s="5" t="str">
        <x:v>TAL-01</x:v>
      </x:c>
      <x:c r="B115" s="5" t="str">
        <x:v>التوظيف والأداء والتطوير</x:v>
      </x:c>
      <x:c r="C115" s="5" t="str">
        <x:v>تخطيط القوى العاملة</x:v>
      </x:c>
      <x:c r="D115" s="5" t="str">
        <x:v>وظائف معتمدة وميزانية وشواغر ومهارات ومبرر الاحتياج.</x:v>
      </x:c>
      <x:c r="E115" s="5" t="str">
        <x:v>رأس المال البشري / المديرون</x:v>
      </x:c>
      <x:c r="F115" s="5" t="str">
        <x:v>P1</x:v>
      </x:c>
      <x:c r="G115" s="5" t="str">
        <x:v>التوسع</x:v>
      </x:c>
      <x:c r="H115" s="5" t="str">
        <x:v>مقترح للاعتماد</x:v>
      </x:c>
      <x:c r="I115" s="5" t="str">
        <x:v>لا يفتح طلب توظيف خارج الخطة دون استثناء مفوض.</x:v>
      </x:c>
      <x:c r="J115" s="5" t="str">
        <x:v>هوية موحدة + بيانات مرجعية + موافقات + مالك إجراء</x:v>
      </x:c>
      <x:c r="K115" s="5" t="str">
        <x:v>حساس / صلاحية خاصة</x:v>
      </x:c>
      <x:c r="L115" s="5" t="str">
        <x:v>تقييمات واستبانات وgoals/trainings؛ نظام مواهب شامل غير مثبت</x:v>
      </x:c>
      <x:c r="M115" s="5" t="str">
        <x:v>Annual Evaluation؛ بوابة 360: goals/performance_reviews/trainings</x:v>
      </x:c>
      <x:c r="N115" s="5" t="str">
        <x:v>https://lovable.dev/projects/33b3cb53-d107-4a33-86b4-f958b21171ad</x:v>
      </x:c>
    </x:row>
    <x:row r="116" ht="78" customHeight="1">
      <x:c r="A116" s="5" t="str">
        <x:v>TAL-02</x:v>
      </x:c>
      <x:c r="B116" s="5" t="str">
        <x:v>التوظيف والأداء والتطوير</x:v>
      </x:c>
      <x:c r="C116" s="5" t="str">
        <x:v>تتبع المرشحين</x:v>
      </x:c>
      <x:c r="D116" s="5" t="str">
        <x:v>مراحل وترشيحات ومقابلات وموافقات عروض وموافقات خصوصية.</x:v>
      </x:c>
      <x:c r="E116" s="5" t="str">
        <x:v>رأس المال البشري / المديرون</x:v>
      </x:c>
      <x:c r="F116" s="5" t="str">
        <x:v>P1</x:v>
      </x:c>
      <x:c r="G116" s="5" t="str">
        <x:v>التوسع</x:v>
      </x:c>
      <x:c r="H116" s="5" t="str">
        <x:v>مقترح للاعتماد</x:v>
      </x:c>
      <x:c r="I116" s="5" t="str">
        <x:v>حذف أو احتفاظ ملف المرشح يتبع سياسة مؤرخة.</x:v>
      </x:c>
      <x:c r="J116" s="5" t="str">
        <x:v>هوية موحدة + بيانات مرجعية + موافقات + مالك إجراء</x:v>
      </x:c>
      <x:c r="K116" s="5" t="str">
        <x:v>حساس / صلاحية خاصة</x:v>
      </x:c>
      <x:c r="L116" s="5" t="str">
        <x:v>تقييمات واستبانات وgoals/trainings؛ نظام مواهب شامل غير مثبت</x:v>
      </x:c>
      <x:c r="M116" s="5" t="str">
        <x:v>Annual Evaluation؛ بوابة 360: goals/performance_reviews/trainings</x:v>
      </x:c>
      <x:c r="N116" s="5" t="str">
        <x:v>https://lovable.dev/projects/33b3cb53-d107-4a33-86b4-f958b21171ad</x:v>
      </x:c>
    </x:row>
    <x:row r="117" ht="78" customHeight="1">
      <x:c r="A117" s="5" t="str">
        <x:v>TAL-03</x:v>
      </x:c>
      <x:c r="B117" s="5" t="str">
        <x:v>التوظيف والأداء والتطوير</x:v>
      </x:c>
      <x:c r="C117" s="5" t="str">
        <x:v>تقييم المقابلات</x:v>
      </x:c>
      <x:c r="D117" s="5" t="str">
        <x:v>بطاقات معيارية مرتبطة بمتطلبات الوظيفة لا انطباع عام.</x:v>
      </x:c>
      <x:c r="E117" s="5" t="str">
        <x:v>رأس المال البشري / المديرون</x:v>
      </x:c>
      <x:c r="F117" s="5" t="str">
        <x:v>P1</x:v>
      </x:c>
      <x:c r="G117" s="5" t="str">
        <x:v>التوسع</x:v>
      </x:c>
      <x:c r="H117" s="5" t="str">
        <x:v>مقترح للاعتماد</x:v>
      </x:c>
      <x:c r="I117" s="5" t="str">
        <x:v>يسجل كل مقيم أدلته قبل الاطلاع على توصيات غيره حيث يلزم.</x:v>
      </x:c>
      <x:c r="J117" s="5" t="str">
        <x:v>هوية موحدة + بيانات مرجعية + موافقات + مالك إجراء</x:v>
      </x:c>
      <x:c r="K117" s="5" t="str">
        <x:v>حساس / صلاحية خاصة</x:v>
      </x:c>
      <x:c r="L117" s="5" t="str">
        <x:v>تقييمات واستبانات وgoals/trainings؛ نظام مواهب شامل غير مثبت</x:v>
      </x:c>
      <x:c r="M117" s="5" t="str">
        <x:v>Annual Evaluation؛ بوابة 360: goals/performance_reviews/trainings</x:v>
      </x:c>
      <x:c r="N117" s="5" t="str">
        <x:v>https://lovable.dev/projects/33b3cb53-d107-4a33-86b4-f958b21171ad</x:v>
      </x:c>
    </x:row>
    <x:row r="118" ht="78" customHeight="1">
      <x:c r="A118" s="5" t="str">
        <x:v>TAL-04</x:v>
      </x:c>
      <x:c r="B118" s="5" t="str">
        <x:v>التوظيف والأداء والتطوير</x:v>
      </x:c>
      <x:c r="C118" s="5" t="str">
        <x:v>العرض الوظيفي</x:v>
      </x:c>
      <x:c r="D118" s="5" t="str">
        <x:v>هيكل أجر ومزايا وتاريخ التحاق وشروط وصلاحية واعتماد.</x:v>
      </x:c>
      <x:c r="E118" s="5" t="str">
        <x:v>رأس المال البشري / المديرون</x:v>
      </x:c>
      <x:c r="F118" s="5" t="str">
        <x:v>P1</x:v>
      </x:c>
      <x:c r="G118" s="5" t="str">
        <x:v>التوسع</x:v>
      </x:c>
      <x:c r="H118" s="5" t="str">
        <x:v>مقترح للاعتماد</x:v>
      </x:c>
      <x:c r="I118" s="5" t="str">
        <x:v>تعديل عنصر مالي يعيد مسار الاعتماد اللازم.</x:v>
      </x:c>
      <x:c r="J118" s="5" t="str">
        <x:v>هوية موحدة + بيانات مرجعية + موافقات + مالك إجراء</x:v>
      </x:c>
      <x:c r="K118" s="5" t="str">
        <x:v>حساس / صلاحية خاصة</x:v>
      </x:c>
      <x:c r="L118" s="5" t="str">
        <x:v>تقييمات واستبانات وgoals/trainings؛ نظام مواهب شامل غير مثبت</x:v>
      </x:c>
      <x:c r="M118" s="5" t="str">
        <x:v>Annual Evaluation؛ بوابة 360: goals/performance_reviews/trainings</x:v>
      </x:c>
      <x:c r="N118" s="5" t="str">
        <x:v>https://lovable.dev/projects/33b3cb53-d107-4a33-86b4-f958b21171ad</x:v>
      </x:c>
    </x:row>
    <x:row r="119" ht="78" customHeight="1">
      <x:c r="A119" s="5" t="str">
        <x:v>TAL-05</x:v>
      </x:c>
      <x:c r="B119" s="5" t="str">
        <x:v>التوظيف والأداء والتطوير</x:v>
      </x:c>
      <x:c r="C119" s="5" t="str">
        <x:v>دورة الأداء</x:v>
      </x:c>
      <x:c r="D119" s="5" t="str">
        <x:v>أهداف ونتائج وكفاءات وقيم وأوزان وفترة وتقييم ذاتي ومدير.</x:v>
      </x:c>
      <x:c r="E119" s="5" t="str">
        <x:v>رأس المال البشري / المديرون</x:v>
      </x:c>
      <x:c r="F119" s="5" t="str">
        <x:v>P2</x:v>
      </x:c>
      <x:c r="G119" s="5" t="str">
        <x:v>التوسع</x:v>
      </x:c>
      <x:c r="H119" s="5" t="str">
        <x:v>مقترح للاعتماد</x:v>
      </x:c>
      <x:c r="I119" s="5" t="str">
        <x:v>الأوزان تساوي 100% ولا يخلط تقييم القيم بمؤشرات النتائج.</x:v>
      </x:c>
      <x:c r="J119" s="5" t="str">
        <x:v>هوية موحدة + بيانات مرجعية + موافقات + مالك إجراء</x:v>
      </x:c>
      <x:c r="K119" s="5" t="str">
        <x:v>حساس / صلاحية خاصة</x:v>
      </x:c>
      <x:c r="L119" s="5" t="str">
        <x:v>تقييمات واستبانات وgoals/trainings؛ نظام مواهب شامل غير مثبت</x:v>
      </x:c>
      <x:c r="M119" s="5" t="str">
        <x:v>Annual Evaluation؛ بوابة 360: goals/performance_reviews/trainings</x:v>
      </x:c>
      <x:c r="N119" s="5" t="str">
        <x:v>https://lovable.dev/projects/33b3cb53-d107-4a33-86b4-f958b21171ad</x:v>
      </x:c>
    </x:row>
    <x:row r="120" ht="78" customHeight="1">
      <x:c r="A120" s="5" t="str">
        <x:v>TAL-06</x:v>
      </x:c>
      <x:c r="B120" s="5" t="str">
        <x:v>التوظيف والأداء والتطوير</x:v>
      </x:c>
      <x:c r="C120" s="5" t="str">
        <x:v>المعايرة والتظلم</x:v>
      </x:c>
      <x:c r="D120" s="5" t="str">
        <x:v>مراجعة عدالة التقييمات واعتماد نهائي وقناة اعتراض.</x:v>
      </x:c>
      <x:c r="E120" s="5" t="str">
        <x:v>رأس المال البشري / المديرون</x:v>
      </x:c>
      <x:c r="F120" s="5" t="str">
        <x:v>P2</x:v>
      </x:c>
      <x:c r="G120" s="5" t="str">
        <x:v>التوسع</x:v>
      </x:c>
      <x:c r="H120" s="5" t="str">
        <x:v>مقترح للاعتماد</x:v>
      </x:c>
      <x:c r="I120" s="5" t="str">
        <x:v>تغيير الدرجة يحتفظ بالقيمة السابقة والمبرر والمخول.</x:v>
      </x:c>
      <x:c r="J120" s="5" t="str">
        <x:v>هوية موحدة + بيانات مرجعية + موافقات + مالك إجراء</x:v>
      </x:c>
      <x:c r="K120" s="5" t="str">
        <x:v>حساس / صلاحية خاصة</x:v>
      </x:c>
      <x:c r="L120" s="5" t="str">
        <x:v>تقييمات واستبانات وgoals/trainings؛ نظام مواهب شامل غير مثبت</x:v>
      </x:c>
      <x:c r="M120" s="5" t="str">
        <x:v>Annual Evaluation؛ بوابة 360: goals/performance_reviews/trainings</x:v>
      </x:c>
      <x:c r="N120" s="5" t="str">
        <x:v>https://lovable.dev/projects/33b3cb53-d107-4a33-86b4-f958b21171ad</x:v>
      </x:c>
    </x:row>
    <x:row r="121" ht="78" customHeight="1">
      <x:c r="A121" s="5" t="str">
        <x:v>TAL-07</x:v>
      </x:c>
      <x:c r="B121" s="5" t="str">
        <x:v>التوظيف والأداء والتطوير</x:v>
      </x:c>
      <x:c r="C121" s="5" t="str">
        <x:v>التعلم</x:v>
      </x:c>
      <x:c r="D121" s="5" t="str">
        <x:v>احتياج وخطة وميزانية وترشيح وحضور وتقييم تعلم وتطبيق.</x:v>
      </x:c>
      <x:c r="E121" s="5" t="str">
        <x:v>رأس المال البشري / المديرون</x:v>
      </x:c>
      <x:c r="F121" s="5" t="str">
        <x:v>P2</x:v>
      </x:c>
      <x:c r="G121" s="5" t="str">
        <x:v>التوسع</x:v>
      </x:c>
      <x:c r="H121" s="5" t="str">
        <x:v>مقترح للاعتماد</x:v>
      </x:c>
      <x:c r="I121" s="5" t="str">
        <x:v>لا تقاس فعالية التدريب بالحضور وحده.</x:v>
      </x:c>
      <x:c r="J121" s="5" t="str">
        <x:v>هوية موحدة + بيانات مرجعية + موافقات + مالك إجراء</x:v>
      </x:c>
      <x:c r="K121" s="5" t="str">
        <x:v>حساس / صلاحية خاصة</x:v>
      </x:c>
      <x:c r="L121" s="5" t="str">
        <x:v>تقييمات واستبانات وgoals/trainings؛ نظام مواهب شامل غير مثبت</x:v>
      </x:c>
      <x:c r="M121" s="5" t="str">
        <x:v>Annual Evaluation؛ بوابة 360: goals/performance_reviews/trainings</x:v>
      </x:c>
      <x:c r="N121" s="5" t="str">
        <x:v>https://lovable.dev/projects/33b3cb53-d107-4a33-86b4-f958b21171ad</x:v>
      </x:c>
    </x:row>
    <x:row r="122" ht="78" customHeight="1">
      <x:c r="A122" s="5" t="str">
        <x:v>TAL-08</x:v>
      </x:c>
      <x:c r="B122" s="5" t="str">
        <x:v>التوظيف والأداء والتطوير</x:v>
      </x:c>
      <x:c r="C122" s="5" t="str">
        <x:v>خطة التطوير</x:v>
      </x:c>
      <x:c r="D122" s="5" t="str">
        <x:v>فجوات مهارية وأهداف تطوير وأنشطة ومتابعة مدير.</x:v>
      </x:c>
      <x:c r="E122" s="5" t="str">
        <x:v>رأس المال البشري / المديرون</x:v>
      </x:c>
      <x:c r="F122" s="5" t="str">
        <x:v>P2</x:v>
      </x:c>
      <x:c r="G122" s="5" t="str">
        <x:v>التوسع</x:v>
      </x:c>
      <x:c r="H122" s="5" t="str">
        <x:v>مقترح للاعتماد</x:v>
      </x:c>
      <x:c r="I122" s="5" t="str">
        <x:v>لكل فجوة إجراء وأجل ودليل تحسن متفق عليه.</x:v>
      </x:c>
      <x:c r="J122" s="5" t="str">
        <x:v>هوية موحدة + بيانات مرجعية + موافقات + مالك إجراء</x:v>
      </x:c>
      <x:c r="K122" s="5" t="str">
        <x:v>حساس / صلاحية خاصة</x:v>
      </x:c>
      <x:c r="L122" s="5" t="str">
        <x:v>تقييمات واستبانات وgoals/trainings؛ نظام مواهب شامل غير مثبت</x:v>
      </x:c>
      <x:c r="M122" s="5" t="str">
        <x:v>Annual Evaluation؛ بوابة 360: goals/performance_reviews/trainings</x:v>
      </x:c>
      <x:c r="N122" s="5" t="str">
        <x:v>https://lovable.dev/projects/33b3cb53-d107-4a33-86b4-f958b21171ad</x:v>
      </x:c>
    </x:row>
    <x:row r="123" ht="78" customHeight="1">
      <x:c r="A123" s="5" t="str">
        <x:v>TAL-09</x:v>
      </x:c>
      <x:c r="B123" s="5" t="str">
        <x:v>التوظيف والأداء والتطوير</x:v>
      </x:c>
      <x:c r="C123" s="5" t="str">
        <x:v>التعاقب والمسار</x:v>
      </x:c>
      <x:c r="D123" s="5" t="str">
        <x:v>وظائف حرجة وبدلاء وجاهزية وخطط نمو بصلاحيات مقيدة.</x:v>
      </x:c>
      <x:c r="E123" s="5" t="str">
        <x:v>رأس المال البشري / المديرون</x:v>
      </x:c>
      <x:c r="F123" s="5" t="str">
        <x:v>P2</x:v>
      </x:c>
      <x:c r="G123" s="5" t="str">
        <x:v>التوسع</x:v>
      </x:c>
      <x:c r="H123" s="5" t="str">
        <x:v>مقترح للاعتماد</x:v>
      </x:c>
      <x:c r="I123" s="5" t="str">
        <x:v>بيانات التعاقب لا تظهر في ملف الموظف العام.</x:v>
      </x:c>
      <x:c r="J123" s="5" t="str">
        <x:v>هوية موحدة + بيانات مرجعية + موافقات + مالك إجراء</x:v>
      </x:c>
      <x:c r="K123" s="5" t="str">
        <x:v>حساس / صلاحية خاصة</x:v>
      </x:c>
      <x:c r="L123" s="5" t="str">
        <x:v>تقييمات واستبانات وgoals/trainings؛ نظام مواهب شامل غير مثبت</x:v>
      </x:c>
      <x:c r="M123" s="5" t="str">
        <x:v>Annual Evaluation؛ بوابة 360: goals/performance_reviews/trainings</x:v>
      </x:c>
      <x:c r="N123" s="5" t="str">
        <x:v>https://lovable.dev/projects/33b3cb53-d107-4a33-86b4-f958b21171ad</x:v>
      </x:c>
    </x:row>
    <x:row r="124" ht="78" customHeight="1">
      <x:c r="A124" s="5" t="str">
        <x:v>TAL-10</x:v>
      </x:c>
      <x:c r="B124" s="5" t="str">
        <x:v>التوظيف والأداء والتطوير</x:v>
      </x:c>
      <x:c r="C124" s="5" t="str">
        <x:v>الترابط لا الأتمتة العمياء</x:v>
      </x:c>
      <x:c r="D124" s="5" t="str">
        <x:v>ربط التقييم بالمكافأة أو الترقية وفق سياسة ومراجعة بشرية.</x:v>
      </x:c>
      <x:c r="E124" s="5" t="str">
        <x:v>رأس المال البشري / المديرون</x:v>
      </x:c>
      <x:c r="F124" s="5" t="str">
        <x:v>P2</x:v>
      </x:c>
      <x:c r="G124" s="5" t="str">
        <x:v>التوسع</x:v>
      </x:c>
      <x:c r="H124" s="5" t="str">
        <x:v>مقترح للاعتماد</x:v>
      </x:c>
      <x:c r="I124" s="5" t="str">
        <x:v>لا يصدر قرار مؤثر على الموظف من تصويت أو نموذج AI وحده.</x:v>
      </x:c>
      <x:c r="J124" s="5" t="str">
        <x:v>هوية موحدة + بيانات مرجعية + موافقات + مالك إجراء</x:v>
      </x:c>
      <x:c r="K124" s="5" t="str">
        <x:v>حساس / صلاحية خاصة</x:v>
      </x:c>
      <x:c r="L124" s="5" t="str">
        <x:v>تقييمات واستبانات وgoals/trainings؛ نظام مواهب شامل غير مثبت</x:v>
      </x:c>
      <x:c r="M124" s="5" t="str">
        <x:v>Annual Evaluation؛ بوابة 360: goals/performance_reviews/trainings</x:v>
      </x:c>
      <x:c r="N124" s="5" t="str">
        <x:v>https://lovable.dev/projects/33b3cb53-d107-4a33-86b4-f958b21171ad</x:v>
      </x:c>
    </x:row>
    <x:row r="125" ht="78" customHeight="1">
      <x:c r="A125" s="5" t="str">
        <x:v>PAY-01</x:v>
      </x:c>
      <x:c r="B125" s="5" t="str">
        <x:v>الرواتب والمزايا</x:v>
      </x:c>
      <x:c r="C125" s="5" t="str">
        <x:v>قواعد مؤرخة</x:v>
      </x:c>
      <x:c r="D125" s="5" t="str">
        <x:v>قواعد أجور واستحقاق وخصم وتأمينات بتاريخ سريان ونسخة معتمدة.</x:v>
      </x:c>
      <x:c r="E125" s="5" t="str">
        <x:v>HR / المالية / مسؤول الرواتب</x:v>
      </x:c>
      <x:c r="F125" s="5" t="str">
        <x:v>P1</x:v>
      </x:c>
      <x:c r="G125" s="5" t="str">
        <x:v>الضبط المالي</x:v>
      </x:c>
      <x:c r="H125" s="5" t="str">
        <x:v>مقترح للاعتماد</x:v>
      </x:c>
      <x:c r="I125" s="5" t="str">
        <x:v>إعادة احتساب شهر سابق تستخدم قواعده لا القواعد الجديدة.</x:v>
      </x:c>
      <x:c r="J125" s="5" t="str">
        <x:v>هوية موحدة + بيانات مرجعية + موافقات + مالك إجراء</x:v>
      </x:c>
      <x:c r="K125" s="5" t="str">
        <x:v>حساس / صلاحية خاصة</x:v>
      </x:c>
      <x:c r="L125" s="5" t="str">
        <x:v>محرك أولي مقروء؛ لا يوصى بالإحلال المباشر</x:v>
      </x:c>
      <x:c r="M125" s="5" t="str">
        <x:v>بوابة 360: src/lib/payroll.ts؛ F07/F08</x:v>
      </x:c>
      <x:c r="N125" s="5" t="str">
        <x:v>https://lovable.dev/projects/33b3cb53-d107-4a33-86b4-f958b21171ad</x:v>
      </x:c>
    </x:row>
    <x:row r="126" ht="78" customHeight="1">
      <x:c r="A126" s="5" t="str">
        <x:v>PAY-02</x:v>
      </x:c>
      <x:c r="B126" s="5" t="str">
        <x:v>الرواتب والمزايا</x:v>
      </x:c>
      <x:c r="C126" s="5" t="str">
        <x:v>تصنيف الاشتراك</x:v>
      </x:c>
      <x:c r="D126" s="5" t="str">
        <x:v>تصنيف التأمينات لكل موظف ومكونات الأجر الخاضع ونسب صاحب العمل والموظف.</x:v>
      </x:c>
      <x:c r="E126" s="5" t="str">
        <x:v>HR / المالية / مسؤول الرواتب</x:v>
      </x:c>
      <x:c r="F126" s="5" t="str">
        <x:v>P1</x:v>
      </x:c>
      <x:c r="G126" s="5" t="str">
        <x:v>الضبط المالي</x:v>
      </x:c>
      <x:c r="H126" s="5" t="str">
        <x:v>مقترح للاعتماد</x:v>
      </x:c>
      <x:c r="I126" s="5" t="str">
        <x:v>حالات مختلفة تطابق ملف التأمينات المعتمد.</x:v>
      </x:c>
      <x:c r="J126" s="5" t="str">
        <x:v>هوية موحدة + بيانات مرجعية + موافقات + مالك إجراء</x:v>
      </x:c>
      <x:c r="K126" s="5" t="str">
        <x:v>حساس / صلاحية خاصة</x:v>
      </x:c>
      <x:c r="L126" s="5" t="str">
        <x:v>محرك أولي مقروء؛ لا يوصى بالإحلال المباشر</x:v>
      </x:c>
      <x:c r="M126" s="5" t="str">
        <x:v>بوابة 360: src/lib/payroll.ts؛ F07/F08</x:v>
      </x:c>
      <x:c r="N126" s="5" t="str">
        <x:v>https://lovable.dev/projects/33b3cb53-d107-4a33-86b4-f958b21171ad</x:v>
      </x:c>
    </x:row>
    <x:row r="127" ht="78" customHeight="1">
      <x:c r="A127" s="5" t="str">
        <x:v>PAY-03</x:v>
      </x:c>
      <x:c r="B127" s="5" t="str">
        <x:v>الرواتب والمزايا</x:v>
      </x:c>
      <x:c r="C127" s="5" t="str">
        <x:v>مدخلات المسير</x:v>
      </x:c>
      <x:c r="D127" s="5" t="str">
        <x:v>زيادات وترقيات وسلف وعمل إضافي وغياب معتمد ومكافآت.</x:v>
      </x:c>
      <x:c r="E127" s="5" t="str">
        <x:v>HR / المالية / مسؤول الرواتب</x:v>
      </x:c>
      <x:c r="F127" s="5" t="str">
        <x:v>P1</x:v>
      </x:c>
      <x:c r="G127" s="5" t="str">
        <x:v>الضبط المالي</x:v>
      </x:c>
      <x:c r="H127" s="5" t="str">
        <x:v>مقترح للاعتماد</x:v>
      </x:c>
      <x:c r="I127" s="5" t="str">
        <x:v>لا تدخل معاملة غير معتمدة أو مكررة في المسير.</x:v>
      </x:c>
      <x:c r="J127" s="5" t="str">
        <x:v>هوية موحدة + بيانات مرجعية + موافقات + مالك إجراء</x:v>
      </x:c>
      <x:c r="K127" s="5" t="str">
        <x:v>حساس / صلاحية خاصة</x:v>
      </x:c>
      <x:c r="L127" s="5" t="str">
        <x:v>محرك أولي مقروء؛ لا يوصى بالإحلال المباشر</x:v>
      </x:c>
      <x:c r="M127" s="5" t="str">
        <x:v>بوابة 360: src/lib/payroll.ts؛ F07/F08</x:v>
      </x:c>
      <x:c r="N127" s="5" t="str">
        <x:v>https://lovable.dev/projects/33b3cb53-d107-4a33-86b4-f958b21171ad</x:v>
      </x:c>
    </x:row>
    <x:row r="128" ht="78" customHeight="1">
      <x:c r="A128" s="5" t="str">
        <x:v>PAY-04</x:v>
      </x:c>
      <x:c r="B128" s="5" t="str">
        <x:v>الرواتب والمزايا</x:v>
      </x:c>
      <x:c r="C128" s="5" t="str">
        <x:v>الأثر الرجعي</x:v>
      </x:c>
      <x:c r="D128" s="5" t="str">
        <x:v>فروق رجعية وتسويات وإعادة تشغيل دون ازدواج.</x:v>
      </x:c>
      <x:c r="E128" s="5" t="str">
        <x:v>HR / المالية / مسؤول الرواتب</x:v>
      </x:c>
      <x:c r="F128" s="5" t="str">
        <x:v>P1</x:v>
      </x:c>
      <x:c r="G128" s="5" t="str">
        <x:v>الضبط المالي</x:v>
      </x:c>
      <x:c r="H128" s="5" t="str">
        <x:v>مقترح للاعتماد</x:v>
      </x:c>
      <x:c r="I128" s="5" t="str">
        <x:v>إعادة التشغيل تعطي فرقًا معتمدًا لا راتبًا ثانيًا.</x:v>
      </x:c>
      <x:c r="J128" s="5" t="str">
        <x:v>هوية موحدة + بيانات مرجعية + موافقات + مالك إجراء</x:v>
      </x:c>
      <x:c r="K128" s="5" t="str">
        <x:v>حساس / صلاحية خاصة</x:v>
      </x:c>
      <x:c r="L128" s="5" t="str">
        <x:v>محرك أولي مقروء؛ لا يوصى بالإحلال المباشر</x:v>
      </x:c>
      <x:c r="M128" s="5" t="str">
        <x:v>بوابة 360: src/lib/payroll.ts؛ F07/F08</x:v>
      </x:c>
      <x:c r="N128" s="5" t="str">
        <x:v>https://lovable.dev/projects/33b3cb53-d107-4a33-86b4-f958b21171ad</x:v>
      </x:c>
    </x:row>
    <x:row r="129" ht="78" customHeight="1">
      <x:c r="A129" s="5" t="str">
        <x:v>PAY-05</x:v>
      </x:c>
      <x:c r="B129" s="5" t="str">
        <x:v>الرواتب والمزايا</x:v>
      </x:c>
      <x:c r="C129" s="5" t="str">
        <x:v>المراجعة المزدوجة</x:v>
      </x:c>
      <x:c r="D129" s="5" t="str">
        <x:v>فصل الإعداد والمراجعة والاعتماد وإطلاق ملف الدفع.</x:v>
      </x:c>
      <x:c r="E129" s="5" t="str">
        <x:v>HR / المالية / مسؤول الرواتب</x:v>
      </x:c>
      <x:c r="F129" s="5" t="str">
        <x:v>P1</x:v>
      </x:c>
      <x:c r="G129" s="5" t="str">
        <x:v>الضبط المالي</x:v>
      </x:c>
      <x:c r="H129" s="5" t="str">
        <x:v>مقترح للاعتماد</x:v>
      </x:c>
      <x:c r="I129" s="5" t="str">
        <x:v>المستخدم نفسه لا يكمل جميع الأدوار على المسير ذاته.</x:v>
      </x:c>
      <x:c r="J129" s="5" t="str">
        <x:v>هوية موحدة + بيانات مرجعية + موافقات + مالك إجراء</x:v>
      </x:c>
      <x:c r="K129" s="5" t="str">
        <x:v>حساس / صلاحية خاصة</x:v>
      </x:c>
      <x:c r="L129" s="5" t="str">
        <x:v>محرك أولي مقروء؛ لا يوصى بالإحلال المباشر</x:v>
      </x:c>
      <x:c r="M129" s="5" t="str">
        <x:v>بوابة 360: src/lib/payroll.ts؛ F07/F08</x:v>
      </x:c>
      <x:c r="N129" s="5" t="str">
        <x:v>https://lovable.dev/projects/33b3cb53-d107-4a33-86b4-f958b21171ad</x:v>
      </x:c>
    </x:row>
    <x:row r="130" ht="78" customHeight="1">
      <x:c r="A130" s="5" t="str">
        <x:v>PAY-06</x:v>
      </x:c>
      <x:c r="B130" s="5" t="str">
        <x:v>الرواتب والمزايا</x:v>
      </x:c>
      <x:c r="C130" s="5" t="str">
        <x:v>التحقق المالي</x:v>
      </x:c>
      <x:c r="D130" s="5" t="str">
        <x:v>مطابقة عدد الموظفين والصافي والتأمينات والتغييرات والفروق.</x:v>
      </x:c>
      <x:c r="E130" s="5" t="str">
        <x:v>HR / المالية / مسؤول الرواتب</x:v>
      </x:c>
      <x:c r="F130" s="5" t="str">
        <x:v>P1</x:v>
      </x:c>
      <x:c r="G130" s="5" t="str">
        <x:v>الضبط المالي</x:v>
      </x:c>
      <x:c r="H130" s="5" t="str">
        <x:v>مقترح للاعتماد</x:v>
      </x:c>
      <x:c r="I130" s="5" t="str">
        <x:v>كل فرق يتجاوز الحد المتفق عليه له تبرير قبل الاعتماد.</x:v>
      </x:c>
      <x:c r="J130" s="5" t="str">
        <x:v>هوية موحدة + بيانات مرجعية + موافقات + مالك إجراء</x:v>
      </x:c>
      <x:c r="K130" s="5" t="str">
        <x:v>حساس / صلاحية خاصة</x:v>
      </x:c>
      <x:c r="L130" s="5" t="str">
        <x:v>محرك أولي مقروء؛ لا يوصى بالإحلال المباشر</x:v>
      </x:c>
      <x:c r="M130" s="5" t="str">
        <x:v>بوابة 360: src/lib/payroll.ts؛ F07/F08</x:v>
      </x:c>
      <x:c r="N130" s="5" t="str">
        <x:v>https://lovable.dev/projects/33b3cb53-d107-4a33-86b4-f958b21171ad</x:v>
      </x:c>
    </x:row>
    <x:row r="131" ht="78" customHeight="1">
      <x:c r="A131" s="5" t="str">
        <x:v>PAY-07</x:v>
      </x:c>
      <x:c r="B131" s="5" t="str">
        <x:v>الرواتب والمزايا</x:v>
      </x:c>
      <x:c r="C131" s="5" t="str">
        <x:v>حماية الأجور والدفع</x:v>
      </x:c>
      <x:c r="D131" s="5" t="str">
        <x:v>ملف بصيغة البنك ومدد المطلوبة وإثبات رفع وقبول وتنفيذ مستقل.</x:v>
      </x:c>
      <x:c r="E131" s="5" t="str">
        <x:v>HR / المالية / مسؤول الرواتب</x:v>
      </x:c>
      <x:c r="F131" s="5" t="str">
        <x:v>P1</x:v>
      </x:c>
      <x:c r="G131" s="5" t="str">
        <x:v>الضبط المالي</x:v>
      </x:c>
      <x:c r="H131" s="5" t="str">
        <x:v>مقترح للاعتماد</x:v>
      </x:c>
      <x:c r="I131" s="5" t="str">
        <x:v>ملف CSV داخلي لا يصنف قبولًا مصرفيًا أو امتثالًا رسميًا.</x:v>
      </x:c>
      <x:c r="J131" s="5" t="str">
        <x:v>هوية موحدة + بيانات مرجعية + موافقات + مالك إجراء</x:v>
      </x:c>
      <x:c r="K131" s="5" t="str">
        <x:v>حساس / صلاحية خاصة</x:v>
      </x:c>
      <x:c r="L131" s="5" t="str">
        <x:v>محرك أولي مقروء؛ لا يوصى بالإحلال المباشر</x:v>
      </x:c>
      <x:c r="M131" s="5" t="str">
        <x:v>بوابة 360: src/lib/payroll.ts؛ F07/F08</x:v>
      </x:c>
      <x:c r="N131" s="5" t="str">
        <x:v>https://lovable.dev/projects/33b3cb53-d107-4a33-86b4-f958b21171ad</x:v>
      </x:c>
    </x:row>
    <x:row r="132" ht="78" customHeight="1">
      <x:c r="A132" s="5" t="str">
        <x:v>PAY-08</x:v>
      </x:c>
      <x:c r="B132" s="5" t="str">
        <x:v>الرواتب والمزايا</x:v>
      </x:c>
      <x:c r="C132" s="5" t="str">
        <x:v>قسائم الرواتب</x:v>
      </x:c>
      <x:c r="D132" s="5" t="str">
        <x:v>إصدار قسائم شخصية بعد اعتماد المسير وقفلها وتسجيل الوصول.</x:v>
      </x:c>
      <x:c r="E132" s="5" t="str">
        <x:v>HR / المالية / مسؤول الرواتب</x:v>
      </x:c>
      <x:c r="F132" s="5" t="str">
        <x:v>P1</x:v>
      </x:c>
      <x:c r="G132" s="5" t="str">
        <x:v>الضبط المالي</x:v>
      </x:c>
      <x:c r="H132" s="5" t="str">
        <x:v>مقترح للاعتماد</x:v>
      </x:c>
      <x:c r="I132" s="5" t="str">
        <x:v>الموظف لا يحصل على قسيمة موظف آخر عبر الرابط المباشر.</x:v>
      </x:c>
      <x:c r="J132" s="5" t="str">
        <x:v>هوية موحدة + بيانات مرجعية + موافقات + مالك إجراء</x:v>
      </x:c>
      <x:c r="K132" s="5" t="str">
        <x:v>حساس / صلاحية خاصة</x:v>
      </x:c>
      <x:c r="L132" s="5" t="str">
        <x:v>محرك أولي مقروء؛ لا يوصى بالإحلال المباشر</x:v>
      </x:c>
      <x:c r="M132" s="5" t="str">
        <x:v>بوابة 360: src/lib/payroll.ts؛ F07/F08</x:v>
      </x:c>
      <x:c r="N132" s="5" t="str">
        <x:v>https://lovable.dev/projects/33b3cb53-d107-4a33-86b4-f958b21171ad</x:v>
      </x:c>
    </x:row>
    <x:row r="133" ht="78" customHeight="1">
      <x:c r="A133" s="5" t="str">
        <x:v>PAY-09</x:v>
      </x:c>
      <x:c r="B133" s="5" t="str">
        <x:v>الرواتب والمزايا</x:v>
      </x:c>
      <x:c r="C133" s="5" t="str">
        <x:v>التسوية النهائية</x:v>
      </x:c>
      <x:c r="D133" s="5" t="str">
        <x:v>سبب إنهاء ومدة خدمة وأجر مؤهل وإجازة ومستحقات وحسميات مع تحقق قانوني.</x:v>
      </x:c>
      <x:c r="E133" s="5" t="str">
        <x:v>HR / المالية / مسؤول الرواتب</x:v>
      </x:c>
      <x:c r="F133" s="5" t="str">
        <x:v>P1</x:v>
      </x:c>
      <x:c r="G133" s="5" t="str">
        <x:v>الضبط المالي</x:v>
      </x:c>
      <x:c r="H133" s="5" t="str">
        <x:v>مقترح للاعتماد</x:v>
      </x:c>
      <x:c r="I133" s="5" t="str">
        <x:v>حالات الاستقالة وغيرها لا تعتمد على معادلة واحدة بلا تصنيف.</x:v>
      </x:c>
      <x:c r="J133" s="5" t="str">
        <x:v>هوية موحدة + بيانات مرجعية + موافقات + مالك إجراء</x:v>
      </x:c>
      <x:c r="K133" s="5" t="str">
        <x:v>حساس / صلاحية خاصة</x:v>
      </x:c>
      <x:c r="L133" s="5" t="str">
        <x:v>محرك أولي مقروء؛ لا يوصى بالإحلال المباشر</x:v>
      </x:c>
      <x:c r="M133" s="5" t="str">
        <x:v>بوابة 360: src/lib/payroll.ts؛ F07/F08</x:v>
      </x:c>
      <x:c r="N133" s="5" t="str">
        <x:v>https://lovable.dev/projects/33b3cb53-d107-4a33-86b4-f958b21171ad</x:v>
      </x:c>
    </x:row>
    <x:row r="134" ht="78" customHeight="1">
      <x:c r="A134" s="5" t="str">
        <x:v>PAY-10</x:v>
      </x:c>
      <x:c r="B134" s="5" t="str">
        <x:v>الرواتب والمزايا</x:v>
      </x:c>
      <x:c r="C134" s="5" t="str">
        <x:v>مخصصات المزايا</x:v>
      </x:c>
      <x:c r="D134" s="5" t="str">
        <x:v>تتبع تأمين ومكافآت وإجازات ونهاية خدمة ومراكز تكلفة.</x:v>
      </x:c>
      <x:c r="E134" s="5" t="str">
        <x:v>HR / المالية / مسؤول الرواتب</x:v>
      </x:c>
      <x:c r="F134" s="5" t="str">
        <x:v>P1</x:v>
      </x:c>
      <x:c r="G134" s="5" t="str">
        <x:v>الضبط المالي</x:v>
      </x:c>
      <x:c r="H134" s="5" t="str">
        <x:v>مقترح للاعتماد</x:v>
      </x:c>
      <x:c r="I134" s="5" t="str">
        <x:v>تتطابق المخصصات مع السياسة المالية والبيانات المعتمدة.</x:v>
      </x:c>
      <x:c r="J134" s="5" t="str">
        <x:v>هوية موحدة + بيانات مرجعية + موافقات + مالك إجراء</x:v>
      </x:c>
      <x:c r="K134" s="5" t="str">
        <x:v>حساس / صلاحية خاصة</x:v>
      </x:c>
      <x:c r="L134" s="5" t="str">
        <x:v>محرك أولي مقروء؛ لا يوصى بالإحلال المباشر</x:v>
      </x:c>
      <x:c r="M134" s="5" t="str">
        <x:v>بوابة 360: src/lib/payroll.ts؛ F07/F08</x:v>
      </x:c>
      <x:c r="N134" s="5" t="str">
        <x:v>https://lovable.dev/projects/33b3cb53-d107-4a33-86b4-f958b21171ad</x:v>
      </x:c>
    </x:row>
    <x:row r="135" ht="78" customHeight="1">
      <x:c r="A135" s="5" t="str">
        <x:v>FIN-01</x:v>
      </x:c>
      <x:c r="B135" s="5" t="str">
        <x:v>المالية والتحصيل والرقابة</x:v>
      </x:c>
      <x:c r="C135" s="5" t="str">
        <x:v>الدليل والفترات</x:v>
      </x:c>
      <x:c r="D135" s="5" t="str">
        <x:v>دليل حسابات ومراكز تكلفة وكيانات وعملات وفترات محاسبية.</x:v>
      </x:c>
      <x:c r="E135" s="5" t="str">
        <x:v>مدير المالية</x:v>
      </x:c>
      <x:c r="F135" s="5" t="str">
        <x:v>P1</x:v>
      </x:c>
      <x:c r="G135" s="5" t="str">
        <x:v>الضبط المالي</x:v>
      </x:c>
      <x:c r="H135" s="5" t="str">
        <x:v>مقترح للاعتماد</x:v>
      </x:c>
      <x:c r="I135" s="5" t="str">
        <x:v>لا ترحل معاملة لحساب غير نشط أو فترة مقفلة.</x:v>
      </x:c>
      <x:c r="J135" s="5" t="str">
        <x:v>هوية موحدة + بيانات مرجعية + موافقات + مالك إجراء</x:v>
      </x:c>
      <x:c r="K135" s="5" t="str">
        <x:v>حساس / صلاحية خاصة</x:v>
      </x:c>
      <x:c r="L135" s="5" t="str">
        <x:v>جداول وواجهات دفتر أستاذ ورواتب وبنوك؛ الصحة التشغيلية غير مثبتة</x:v>
      </x:c>
      <x:c r="M135" s="5" t="str">
        <x:v>بوابة 360: ledger/finance/bank/zatca</x:v>
      </x:c>
      <x:c r="N135" s="5" t="str">
        <x:v>https://lovable.dev/projects/33b3cb53-d107-4a33-86b4-f958b21171ad</x:v>
      </x:c>
    </x:row>
    <x:row r="136" ht="78" customHeight="1">
      <x:c r="A136" s="5" t="str">
        <x:v>FIN-02</x:v>
      </x:c>
      <x:c r="B136" s="5" t="str">
        <x:v>المالية والتحصيل والرقابة</x:v>
      </x:c>
      <x:c r="C136" s="5" t="str">
        <x:v>ميزانية المشروع</x:v>
      </x:c>
      <x:c r="D136" s="5" t="str">
        <x:v>ربط عرض السعر والميزانية والالتزامات والفواتير والتكلفة.</x:v>
      </x:c>
      <x:c r="E136" s="5" t="str">
        <x:v>مدير المالية</x:v>
      </x:c>
      <x:c r="F136" s="5" t="str">
        <x:v>P1</x:v>
      </x:c>
      <x:c r="G136" s="5" t="str">
        <x:v>الضبط المالي</x:v>
      </x:c>
      <x:c r="H136" s="5" t="str">
        <x:v>مقترح للاعتماد</x:v>
      </x:c>
      <x:c r="I136" s="5" t="str">
        <x:v>يظهر تعريف الهامش ومكوناته دون ازدواج الإنفاق الممرر.</x:v>
      </x:c>
      <x:c r="J136" s="5" t="str">
        <x:v>هوية موحدة + بيانات مرجعية + موافقات + مالك إجراء</x:v>
      </x:c>
      <x:c r="K136" s="5" t="str">
        <x:v>حساس / صلاحية خاصة</x:v>
      </x:c>
      <x:c r="L136" s="5" t="str">
        <x:v>جداول وواجهات دفتر أستاذ ورواتب وبنوك؛ الصحة التشغيلية غير مثبتة</x:v>
      </x:c>
      <x:c r="M136" s="5" t="str">
        <x:v>بوابة 360: ledger/finance/bank/zatca</x:v>
      </x:c>
      <x:c r="N136" s="5" t="str">
        <x:v>https://lovable.dev/projects/33b3cb53-d107-4a33-86b4-f958b21171ad</x:v>
      </x:c>
    </x:row>
    <x:row r="137" ht="78" customHeight="1">
      <x:c r="A137" s="5" t="str">
        <x:v>FIN-03</x:v>
      </x:c>
      <x:c r="B137" s="5" t="str">
        <x:v>المالية والتحصيل والرقابة</x:v>
      </x:c>
      <x:c r="C137" s="5" t="str">
        <x:v>حسابات العملاء</x:v>
      </x:c>
      <x:c r="D137" s="5" t="str">
        <x:v>جدول دفعات وفواتير وإشعارات وأرصدة وتحويلات وتخصيص قبض.</x:v>
      </x:c>
      <x:c r="E137" s="5" t="str">
        <x:v>مدير المالية</x:v>
      </x:c>
      <x:c r="F137" s="5" t="str">
        <x:v>P1</x:v>
      </x:c>
      <x:c r="G137" s="5" t="str">
        <x:v>الضبط المالي</x:v>
      </x:c>
      <x:c r="H137" s="5" t="str">
        <x:v>مقترح للاعتماد</x:v>
      </x:c>
      <x:c r="I137" s="5" t="str">
        <x:v>يصل كل قبض إلى فاتورة أو رصيد مقدم مفسر.</x:v>
      </x:c>
      <x:c r="J137" s="5" t="str">
        <x:v>هوية موحدة + بيانات مرجعية + موافقات + مالك إجراء</x:v>
      </x:c>
      <x:c r="K137" s="5" t="str">
        <x:v>حساس / صلاحية خاصة</x:v>
      </x:c>
      <x:c r="L137" s="5" t="str">
        <x:v>جداول وواجهات دفتر أستاذ ورواتب وبنوك؛ الصحة التشغيلية غير مثبتة</x:v>
      </x:c>
      <x:c r="M137" s="5" t="str">
        <x:v>بوابة 360: ledger/finance/bank/zatca</x:v>
      </x:c>
      <x:c r="N137" s="5" t="str">
        <x:v>https://lovable.dev/projects/33b3cb53-d107-4a33-86b4-f958b21171ad</x:v>
      </x:c>
    </x:row>
    <x:row r="138" ht="78" customHeight="1">
      <x:c r="A138" s="5" t="str">
        <x:v>FIN-04</x:v>
      </x:c>
      <x:c r="B138" s="5" t="str">
        <x:v>المالية والتحصيل والرقابة</x:v>
      </x:c>
      <x:c r="C138" s="5" t="str">
        <x:v>التحصيل</x:v>
      </x:c>
      <x:c r="D138" s="5" t="str">
        <x:v>أعمار ذمم ووعود سداد ونزاعات وإجراءات متابعة.</x:v>
      </x:c>
      <x:c r="E138" s="5" t="str">
        <x:v>مدير المالية</x:v>
      </x:c>
      <x:c r="F138" s="5" t="str">
        <x:v>P1</x:v>
      </x:c>
      <x:c r="G138" s="5" t="str">
        <x:v>الضبط المالي</x:v>
      </x:c>
      <x:c r="H138" s="5" t="str">
        <x:v>مقترح للاعتماد</x:v>
      </x:c>
      <x:c r="I138" s="5" t="str">
        <x:v>تظهر الديون المتنازع عليها منفصلة عن المتأخرة العادية.</x:v>
      </x:c>
      <x:c r="J138" s="5" t="str">
        <x:v>هوية موحدة + بيانات مرجعية + موافقات + مالك إجراء</x:v>
      </x:c>
      <x:c r="K138" s="5" t="str">
        <x:v>حساس / صلاحية خاصة</x:v>
      </x:c>
      <x:c r="L138" s="5" t="str">
        <x:v>جداول وواجهات دفتر أستاذ ورواتب وبنوك؛ الصحة التشغيلية غير مثبتة</x:v>
      </x:c>
      <x:c r="M138" s="5" t="str">
        <x:v>بوابة 360: ledger/finance/bank/zatca</x:v>
      </x:c>
      <x:c r="N138" s="5" t="str">
        <x:v>https://lovable.dev/projects/33b3cb53-d107-4a33-86b4-f958b21171ad</x:v>
      </x:c>
    </x:row>
    <x:row r="139" ht="78" customHeight="1">
      <x:c r="A139" s="5" t="str">
        <x:v>FIN-05</x:v>
      </x:c>
      <x:c r="B139" s="5" t="str">
        <x:v>المالية والتحصيل والرقابة</x:v>
      </x:c>
      <x:c r="C139" s="5" t="str">
        <x:v>حسابات الموردين</x:v>
      </x:c>
      <x:c r="D139" s="5" t="str">
        <x:v>فاتورة مرتبطة بأمر شراء واستلام وإشعار دائن.</x:v>
      </x:c>
      <x:c r="E139" s="5" t="str">
        <x:v>مدير المالية</x:v>
      </x:c>
      <x:c r="F139" s="5" t="str">
        <x:v>P1</x:v>
      </x:c>
      <x:c r="G139" s="5" t="str">
        <x:v>الضبط المالي</x:v>
      </x:c>
      <x:c r="H139" s="5" t="str">
        <x:v>مقترح للاعتماد</x:v>
      </x:c>
      <x:c r="I139" s="5" t="str">
        <x:v>الفاتورة المكررة لنفس المورد والرقم توقف للمراجعة.</x:v>
      </x:c>
      <x:c r="J139" s="5" t="str">
        <x:v>هوية موحدة + بيانات مرجعية + موافقات + مالك إجراء</x:v>
      </x:c>
      <x:c r="K139" s="5" t="str">
        <x:v>حساس / صلاحية خاصة</x:v>
      </x:c>
      <x:c r="L139" s="5" t="str">
        <x:v>جداول وواجهات دفتر أستاذ ورواتب وبنوك؛ الصحة التشغيلية غير مثبتة</x:v>
      </x:c>
      <x:c r="M139" s="5" t="str">
        <x:v>بوابة 360: ledger/finance/bank/zatca</x:v>
      </x:c>
      <x:c r="N139" s="5" t="str">
        <x:v>https://lovable.dev/projects/33b3cb53-d107-4a33-86b4-f958b21171ad</x:v>
      </x:c>
    </x:row>
    <x:row r="140" ht="78" customHeight="1">
      <x:c r="A140" s="5" t="str">
        <x:v>FIN-06</x:v>
      </x:c>
      <x:c r="B140" s="5" t="str">
        <x:v>المالية والتحصيل والرقابة</x:v>
      </x:c>
      <x:c r="C140" s="5" t="str">
        <x:v>القيود والتسوية</x:v>
      </x:c>
      <x:c r="D140" s="5" t="str">
        <x:v>قيود متوازنة ومصادر أصلية وعكس وتصحيح مع أثر تدقيق.</x:v>
      </x:c>
      <x:c r="E140" s="5" t="str">
        <x:v>مدير المالية</x:v>
      </x:c>
      <x:c r="F140" s="5" t="str">
        <x:v>P1</x:v>
      </x:c>
      <x:c r="G140" s="5" t="str">
        <x:v>الضبط المالي</x:v>
      </x:c>
      <x:c r="H140" s="5" t="str">
        <x:v>مقترح للاعتماد</x:v>
      </x:c>
      <x:c r="I140" s="5" t="str">
        <x:v>منع التعديل الصامت لقيد مرحل ورفض غير المتوازن.</x:v>
      </x:c>
      <x:c r="J140" s="5" t="str">
        <x:v>هوية موحدة + بيانات مرجعية + موافقات + مالك إجراء</x:v>
      </x:c>
      <x:c r="K140" s="5" t="str">
        <x:v>حساس / صلاحية خاصة</x:v>
      </x:c>
      <x:c r="L140" s="5" t="str">
        <x:v>جداول وواجهات دفتر أستاذ ورواتب وبنوك؛ الصحة التشغيلية غير مثبتة</x:v>
      </x:c>
      <x:c r="M140" s="5" t="str">
        <x:v>بوابة 360: ledger/finance/bank/zatca</x:v>
      </x:c>
      <x:c r="N140" s="5" t="str">
        <x:v>https://lovable.dev/projects/33b3cb53-d107-4a33-86b4-f958b21171ad</x:v>
      </x:c>
    </x:row>
    <x:row r="141" ht="78" customHeight="1">
      <x:c r="A141" s="5" t="str">
        <x:v>FIN-07</x:v>
      </x:c>
      <x:c r="B141" s="5" t="str">
        <x:v>المالية والتحصيل والرقابة</x:v>
      </x:c>
      <x:c r="C141" s="5" t="str">
        <x:v>السيولة والبنوك</x:v>
      </x:c>
      <x:c r="D141" s="5" t="str">
        <x:v>توقع تدفق وتسوية كشف حساب وموافقة دفع.</x:v>
      </x:c>
      <x:c r="E141" s="5" t="str">
        <x:v>مدير المالية</x:v>
      </x:c>
      <x:c r="F141" s="5" t="str">
        <x:v>P1</x:v>
      </x:c>
      <x:c r="G141" s="5" t="str">
        <x:v>الضبط المالي</x:v>
      </x:c>
      <x:c r="H141" s="5" t="str">
        <x:v>مقترح للاعتماد</x:v>
      </x:c>
      <x:c r="I141" s="5" t="str">
        <x:v>زر معتمد لا يعني أن البنك نفذ التحويل.</x:v>
      </x:c>
      <x:c r="J141" s="5" t="str">
        <x:v>هوية موحدة + بيانات مرجعية + موافقات + مالك إجراء</x:v>
      </x:c>
      <x:c r="K141" s="5" t="str">
        <x:v>حساس / صلاحية خاصة</x:v>
      </x:c>
      <x:c r="L141" s="5" t="str">
        <x:v>جداول وواجهات دفتر أستاذ ورواتب وبنوك؛ الصحة التشغيلية غير مثبتة</x:v>
      </x:c>
      <x:c r="M141" s="5" t="str">
        <x:v>بوابة 360: ledger/finance/bank/zatca</x:v>
      </x:c>
      <x:c r="N141" s="5" t="str">
        <x:v>https://lovable.dev/projects/33b3cb53-d107-4a33-86b4-f958b21171ad</x:v>
      </x:c>
    </x:row>
    <x:row r="142" ht="78" customHeight="1">
      <x:c r="A142" s="5" t="str">
        <x:v>FIN-08</x:v>
      </x:c>
      <x:c r="B142" s="5" t="str">
        <x:v>المالية والتحصيل والرقابة</x:v>
      </x:c>
      <x:c r="C142" s="5" t="str">
        <x:v>الضرائب والفوترة</x:v>
      </x:c>
      <x:c r="D142" s="5" t="str">
        <x:v>تكامل صحيح مع الفوترة وتسجيل حالة رسمية وفشل وإعادة محاولة.</x:v>
      </x:c>
      <x:c r="E142" s="5" t="str">
        <x:v>مدير المالية</x:v>
      </x:c>
      <x:c r="F142" s="5" t="str">
        <x:v>P1</x:v>
      </x:c>
      <x:c r="G142" s="5" t="str">
        <x:v>الضبط المالي</x:v>
      </x:c>
      <x:c r="H142" s="5" t="str">
        <x:v>مقترح للاعتماد</x:v>
      </x:c>
      <x:c r="I142" s="5" t="str">
        <x:v>لا تعتبر محاكاة القبول في النظام فاتورة معتمدة.</x:v>
      </x:c>
      <x:c r="J142" s="5" t="str">
        <x:v>هوية موحدة + بيانات مرجعية + موافقات + مالك إجراء</x:v>
      </x:c>
      <x:c r="K142" s="5" t="str">
        <x:v>حساس / صلاحية خاصة</x:v>
      </x:c>
      <x:c r="L142" s="5" t="str">
        <x:v>جداول وواجهات دفتر أستاذ ورواتب وبنوك؛ الصحة التشغيلية غير مثبتة</x:v>
      </x:c>
      <x:c r="M142" s="5" t="str">
        <x:v>بوابة 360: ledger/finance/bank/zatca</x:v>
      </x:c>
      <x:c r="N142" s="5" t="str">
        <x:v>https://lovable.dev/projects/33b3cb53-d107-4a33-86b4-f958b21171ad</x:v>
      </x:c>
    </x:row>
    <x:row r="143" ht="78" customHeight="1">
      <x:c r="A143" s="5" t="str">
        <x:v>FIN-09</x:v>
      </x:c>
      <x:c r="B143" s="5" t="str">
        <x:v>المالية والتحصيل والرقابة</x:v>
      </x:c>
      <x:c r="C143" s="5" t="str">
        <x:v>الإقفال والتقارير</x:v>
      </x:c>
      <x:c r="D143" s="5" t="str">
        <x:v>قوائم ومراجعات وتسويات واستحقاقات وجدول إقفال.</x:v>
      </x:c>
      <x:c r="E143" s="5" t="str">
        <x:v>مدير المالية</x:v>
      </x:c>
      <x:c r="F143" s="5" t="str">
        <x:v>P1</x:v>
      </x:c>
      <x:c r="G143" s="5" t="str">
        <x:v>الضبط المالي</x:v>
      </x:c>
      <x:c r="H143" s="5" t="str">
        <x:v>مقترح للاعتماد</x:v>
      </x:c>
      <x:c r="I143" s="5" t="str">
        <x:v>يوقع مالك كل تسوية مع رابط الدليل قبل قفل الفترة.</x:v>
      </x:c>
      <x:c r="J143" s="5" t="str">
        <x:v>هوية موحدة + بيانات مرجعية + موافقات + مالك إجراء</x:v>
      </x:c>
      <x:c r="K143" s="5" t="str">
        <x:v>حساس / صلاحية خاصة</x:v>
      </x:c>
      <x:c r="L143" s="5" t="str">
        <x:v>جداول وواجهات دفتر أستاذ ورواتب وبنوك؛ الصحة التشغيلية غير مثبتة</x:v>
      </x:c>
      <x:c r="M143" s="5" t="str">
        <x:v>بوابة 360: ledger/finance/bank/zatca</x:v>
      </x:c>
      <x:c r="N143" s="5" t="str">
        <x:v>https://lovable.dev/projects/33b3cb53-d107-4a33-86b4-f958b21171ad</x:v>
      </x:c>
    </x:row>
    <x:row r="144" ht="78" customHeight="1">
      <x:c r="A144" s="5" t="str">
        <x:v>FIN-10</x:v>
      </x:c>
      <x:c r="B144" s="5" t="str">
        <x:v>المالية والتحصيل والرقابة</x:v>
      </x:c>
      <x:c r="C144" s="5" t="str">
        <x:v>قرار الإحلال</x:v>
      </x:c>
      <x:c r="D144" s="5" t="str">
        <x:v>الإبقاء على المرجع المالي الحالي حتى مطابقة وتجربة مستقلة.</x:v>
      </x:c>
      <x:c r="E144" s="5" t="str">
        <x:v>مدير المالية</x:v>
      </x:c>
      <x:c r="F144" s="5" t="str">
        <x:v>P1</x:v>
      </x:c>
      <x:c r="G144" s="5" t="str">
        <x:v>الضبط المالي</x:v>
      </x:c>
      <x:c r="H144" s="5" t="str">
        <x:v>مقترح للاعتماد</x:v>
      </x:c>
      <x:c r="I144" s="5" t="str">
        <x:v>لا يلغى النظام المالي القائم قبل توقيع المالية على بوابة القبول.</x:v>
      </x:c>
      <x:c r="J144" s="5" t="str">
        <x:v>هوية موحدة + بيانات مرجعية + موافقات + مالك إجراء</x:v>
      </x:c>
      <x:c r="K144" s="5" t="str">
        <x:v>حساس / صلاحية خاصة</x:v>
      </x:c>
      <x:c r="L144" s="5" t="str">
        <x:v>جداول وواجهات دفتر أستاذ ورواتب وبنوك؛ الصحة التشغيلية غير مثبتة</x:v>
      </x:c>
      <x:c r="M144" s="5" t="str">
        <x:v>بوابة 360: ledger/finance/bank/zatca</x:v>
      </x:c>
      <x:c r="N144" s="5" t="str">
        <x:v>https://lovable.dev/projects/33b3cb53-d107-4a33-86b4-f958b21171ad</x:v>
      </x:c>
    </x:row>
    <x:row r="145" ht="78" customHeight="1">
      <x:c r="A145" s="5" t="str">
        <x:v>PRC-01</x:v>
      </x:c>
      <x:c r="B145" s="5" t="str">
        <x:v>المشتريات والموردون</x:v>
      </x:c>
      <x:c r="C145" s="5" t="str">
        <x:v>طلب الشراء</x:v>
      </x:c>
      <x:c r="D145" s="5" t="str">
        <x:v>ربط الاحتياج بمشروع ومركز تكلفة ومواصفات وموعد وميزانية.</x:v>
      </x:c>
      <x:c r="E145" s="5" t="str">
        <x:v>مدير المشتريات / المالية</x:v>
      </x:c>
      <x:c r="F145" s="5" t="str">
        <x:v>P1</x:v>
      </x:c>
      <x:c r="G145" s="5" t="str">
        <x:v>التشغيل</x:v>
      </x:c>
      <x:c r="H145" s="5" t="str">
        <x:v>مقترح للاعتماد</x:v>
      </x:c>
      <x:c r="I145" s="5" t="str">
        <x:v>يمنع الالتزام دون مخصص أو استثناء موثق.</x:v>
      </x:c>
      <x:c r="J145" s="5" t="str">
        <x:v>هوية موحدة + بيانات مرجعية + موافقات + مالك إجراء</x:v>
      </x:c>
      <x:c r="K145" s="5" t="str">
        <x:v>داخلي / حسب المشروع</x:v>
      </x:c>
      <x:c r="L145" s="5" t="str">
        <x:v>طلبات وأوامر وموردون موجودة؛ سير المطابقة غير مختبر</x:v>
      </x:c>
      <x:c r="M145" s="5" t="str">
        <x:v>بوابة 360: vendors/purchase_requests/purchase_orders</x:v>
      </x:c>
      <x:c r="N145" s="5" t="str">
        <x:v>https://lovable.dev/projects/33b3cb53-d107-4a33-86b4-f958b21171ad</x:v>
      </x:c>
    </x:row>
    <x:row r="146" ht="78" customHeight="1">
      <x:c r="A146" s="5" t="str">
        <x:v>PRC-02</x:v>
      </x:c>
      <x:c r="B146" s="5" t="str">
        <x:v>المشتريات والموردون</x:v>
      </x:c>
      <x:c r="C146" s="5" t="str">
        <x:v>تأهيل المورد</x:v>
      </x:c>
      <x:c r="D146" s="5" t="str">
        <x:v>سجل قانوني وضريبي وبنكي وتخصص وتصنيف وتعارض مصالح.</x:v>
      </x:c>
      <x:c r="E146" s="5" t="str">
        <x:v>مدير المشتريات / المالية</x:v>
      </x:c>
      <x:c r="F146" s="5" t="str">
        <x:v>P1</x:v>
      </x:c>
      <x:c r="G146" s="5" t="str">
        <x:v>التشغيل</x:v>
      </x:c>
      <x:c r="H146" s="5" t="str">
        <x:v>مقترح للاعتماد</x:v>
      </x:c>
      <x:c r="I146" s="5" t="str">
        <x:v>مورد غير معتمد لا يدخل دورة دفع عادية.</x:v>
      </x:c>
      <x:c r="J146" s="5" t="str">
        <x:v>هوية موحدة + بيانات مرجعية + موافقات + مالك إجراء</x:v>
      </x:c>
      <x:c r="K146" s="5" t="str">
        <x:v>داخلي / حسب المشروع</x:v>
      </x:c>
      <x:c r="L146" s="5" t="str">
        <x:v>طلبات وأوامر وموردون موجودة؛ سير المطابقة غير مختبر</x:v>
      </x:c>
      <x:c r="M146" s="5" t="str">
        <x:v>بوابة 360: vendors/purchase_requests/purchase_orders</x:v>
      </x:c>
      <x:c r="N146" s="5" t="str">
        <x:v>https://lovable.dev/projects/33b3cb53-d107-4a33-86b4-f958b21171ad</x:v>
      </x:c>
    </x:row>
    <x:row r="147" ht="78" customHeight="1">
      <x:c r="A147" s="5" t="str">
        <x:v>PRC-03</x:v>
      </x:c>
      <x:c r="B147" s="5" t="str">
        <x:v>المشتريات والموردون</x:v>
      </x:c>
      <x:c r="C147" s="5" t="str">
        <x:v>طلبات العروض</x:v>
      </x:c>
      <x:c r="D147" s="5" t="str">
        <x:v>دعوات وعروض مقارنة بمعايير فنية ومالية واضحة.</x:v>
      </x:c>
      <x:c r="E147" s="5" t="str">
        <x:v>مدير المشتريات / المالية</x:v>
      </x:c>
      <x:c r="F147" s="5" t="str">
        <x:v>P1</x:v>
      </x:c>
      <x:c r="G147" s="5" t="str">
        <x:v>التشغيل</x:v>
      </x:c>
      <x:c r="H147" s="5" t="str">
        <x:v>مقترح للاعتماد</x:v>
      </x:c>
      <x:c r="I147" s="5" t="str">
        <x:v>قرار الترسية يحتفظ بالعروض ومبررات الاختيار.</x:v>
      </x:c>
      <x:c r="J147" s="5" t="str">
        <x:v>هوية موحدة + بيانات مرجعية + موافقات + مالك إجراء</x:v>
      </x:c>
      <x:c r="K147" s="5" t="str">
        <x:v>داخلي / حسب المشروع</x:v>
      </x:c>
      <x:c r="L147" s="5" t="str">
        <x:v>طلبات وأوامر وموردون موجودة؛ سير المطابقة غير مختبر</x:v>
      </x:c>
      <x:c r="M147" s="5" t="str">
        <x:v>بوابة 360: vendors/purchase_requests/purchase_orders</x:v>
      </x:c>
      <x:c r="N147" s="5" t="str">
        <x:v>https://lovable.dev/projects/33b3cb53-d107-4a33-86b4-f958b21171ad</x:v>
      </x:c>
    </x:row>
    <x:row r="148" ht="78" customHeight="1">
      <x:c r="A148" s="5" t="str">
        <x:v>PRC-04</x:v>
      </x:c>
      <x:c r="B148" s="5" t="str">
        <x:v>المشتريات والموردون</x:v>
      </x:c>
      <x:c r="C148" s="5" t="str">
        <x:v>أمر الشراء</x:v>
      </x:c>
      <x:c r="D148" s="5" t="str">
        <x:v>إصدار أمر بقيمة وشروط وتسليم واعتماد وإصدار ثابت.</x:v>
      </x:c>
      <x:c r="E148" s="5" t="str">
        <x:v>مدير المشتريات / المالية</x:v>
      </x:c>
      <x:c r="F148" s="5" t="str">
        <x:v>P1</x:v>
      </x:c>
      <x:c r="G148" s="5" t="str">
        <x:v>التشغيل</x:v>
      </x:c>
      <x:c r="H148" s="5" t="str">
        <x:v>مقترح للاعتماد</x:v>
      </x:c>
      <x:c r="I148" s="5" t="str">
        <x:v>لا يصدر أمر مسودة ضمن ملف الأوامر المعتمدة.</x:v>
      </x:c>
      <x:c r="J148" s="5" t="str">
        <x:v>هوية موحدة + بيانات مرجعية + موافقات + مالك إجراء</x:v>
      </x:c>
      <x:c r="K148" s="5" t="str">
        <x:v>داخلي / حسب المشروع</x:v>
      </x:c>
      <x:c r="L148" s="5" t="str">
        <x:v>طلبات وأوامر وموردون موجودة؛ سير المطابقة غير مختبر</x:v>
      </x:c>
      <x:c r="M148" s="5" t="str">
        <x:v>بوابة 360: vendors/purchase_requests/purchase_orders</x:v>
      </x:c>
      <x:c r="N148" s="5" t="str">
        <x:v>https://lovable.dev/projects/33b3cb53-d107-4a33-86b4-f958b21171ad</x:v>
      </x:c>
    </x:row>
    <x:row r="149" ht="78" customHeight="1">
      <x:c r="A149" s="5" t="str">
        <x:v>PRC-05</x:v>
      </x:c>
      <x:c r="B149" s="5" t="str">
        <x:v>المشتريات والموردون</x:v>
      </x:c>
      <x:c r="C149" s="5" t="str">
        <x:v>الاستلام</x:v>
      </x:c>
      <x:c r="D149" s="5" t="str">
        <x:v>محضر استلام سلع أو قبول خدمة أو مخرج إنتاج.</x:v>
      </x:c>
      <x:c r="E149" s="5" t="str">
        <x:v>مدير المشتريات / المالية</x:v>
      </x:c>
      <x:c r="F149" s="5" t="str">
        <x:v>P2</x:v>
      </x:c>
      <x:c r="G149" s="5" t="str">
        <x:v>التشغيل</x:v>
      </x:c>
      <x:c r="H149" s="5" t="str">
        <x:v>مقترح للاعتماد</x:v>
      </x:c>
      <x:c r="I149" s="5" t="str">
        <x:v>منفذ الاستلام مختلف عن طالب الدفع عند الحاجة.</x:v>
      </x:c>
      <x:c r="J149" s="5" t="str">
        <x:v>هوية موحدة + بيانات مرجعية + موافقات + مالك إجراء</x:v>
      </x:c>
      <x:c r="K149" s="5" t="str">
        <x:v>داخلي / حسب المشروع</x:v>
      </x:c>
      <x:c r="L149" s="5" t="str">
        <x:v>طلبات وأوامر وموردون موجودة؛ سير المطابقة غير مختبر</x:v>
      </x:c>
      <x:c r="M149" s="5" t="str">
        <x:v>بوابة 360: vendors/purchase_requests/purchase_orders</x:v>
      </x:c>
      <x:c r="N149" s="5" t="str">
        <x:v>https://lovable.dev/projects/33b3cb53-d107-4a33-86b4-f958b21171ad</x:v>
      </x:c>
    </x:row>
    <x:row r="150" ht="78" customHeight="1">
      <x:c r="A150" s="5" t="str">
        <x:v>PRC-06</x:v>
      </x:c>
      <x:c r="B150" s="5" t="str">
        <x:v>المشتريات والموردون</x:v>
      </x:c>
      <x:c r="C150" s="5" t="str">
        <x:v>المطابقة الثلاثية</x:v>
      </x:c>
      <x:c r="D150" s="5" t="str">
        <x:v>مطابقة الأمر والاستلام والفاتورة مع سماحات معتمدة.</x:v>
      </x:c>
      <x:c r="E150" s="5" t="str">
        <x:v>مدير المشتريات / المالية</x:v>
      </x:c>
      <x:c r="F150" s="5" t="str">
        <x:v>P2</x:v>
      </x:c>
      <x:c r="G150" s="5" t="str">
        <x:v>التشغيل</x:v>
      </x:c>
      <x:c r="H150" s="5" t="str">
        <x:v>مقترح للاعتماد</x:v>
      </x:c>
      <x:c r="I150" s="5" t="str">
        <x:v>الفرق فوق السماح يوقف الدفع ويحدد المسؤول.</x:v>
      </x:c>
      <x:c r="J150" s="5" t="str">
        <x:v>هوية موحدة + بيانات مرجعية + موافقات + مالك إجراء</x:v>
      </x:c>
      <x:c r="K150" s="5" t="str">
        <x:v>داخلي / حسب المشروع</x:v>
      </x:c>
      <x:c r="L150" s="5" t="str">
        <x:v>طلبات وأوامر وموردون موجودة؛ سير المطابقة غير مختبر</x:v>
      </x:c>
      <x:c r="M150" s="5" t="str">
        <x:v>بوابة 360: vendors/purchase_requests/purchase_orders</x:v>
      </x:c>
      <x:c r="N150" s="5" t="str">
        <x:v>https://lovable.dev/projects/33b3cb53-d107-4a33-86b4-f958b21171ad</x:v>
      </x:c>
    </x:row>
    <x:row r="151" ht="78" customHeight="1">
      <x:c r="A151" s="5" t="str">
        <x:v>PRC-07</x:v>
      </x:c>
      <x:c r="B151" s="5" t="str">
        <x:v>المشتريات والموردون</x:v>
      </x:c>
      <x:c r="C151" s="5" t="str">
        <x:v>الشراء الطارئ</x:v>
      </x:c>
      <x:c r="D151" s="5" t="str">
        <x:v>مسار طوارئ بسبب وتفويض وحدود ومراجعة لاحقة.</x:v>
      </x:c>
      <x:c r="E151" s="5" t="str">
        <x:v>مدير المشتريات / المالية</x:v>
      </x:c>
      <x:c r="F151" s="5" t="str">
        <x:v>P2</x:v>
      </x:c>
      <x:c r="G151" s="5" t="str">
        <x:v>التشغيل</x:v>
      </x:c>
      <x:c r="H151" s="5" t="str">
        <x:v>مقترح للاعتماد</x:v>
      </x:c>
      <x:c r="I151" s="5" t="str">
        <x:v>الطوارئ لا تلغي التسجيل أو مراجعة تضارب المصالح.</x:v>
      </x:c>
      <x:c r="J151" s="5" t="str">
        <x:v>هوية موحدة + بيانات مرجعية + موافقات + مالك إجراء</x:v>
      </x:c>
      <x:c r="K151" s="5" t="str">
        <x:v>داخلي / حسب المشروع</x:v>
      </x:c>
      <x:c r="L151" s="5" t="str">
        <x:v>طلبات وأوامر وموردون موجودة؛ سير المطابقة غير مختبر</x:v>
      </x:c>
      <x:c r="M151" s="5" t="str">
        <x:v>بوابة 360: vendors/purchase_requests/purchase_orders</x:v>
      </x:c>
      <x:c r="N151" s="5" t="str">
        <x:v>https://lovable.dev/projects/33b3cb53-d107-4a33-86b4-f958b21171ad</x:v>
      </x:c>
    </x:row>
    <x:row r="152" ht="78" customHeight="1">
      <x:c r="A152" s="5" t="str">
        <x:v>PRC-08</x:v>
      </x:c>
      <x:c r="B152" s="5" t="str">
        <x:v>المشتريات والموردون</x:v>
      </x:c>
      <x:c r="C152" s="5" t="str">
        <x:v>تعديل الأمر</x:v>
      </x:c>
      <x:c r="D152" s="5" t="str">
        <x:v>تغيير القيمة أو الكمية أو المورد مع إعادة اعتماد الأثر.</x:v>
      </x:c>
      <x:c r="E152" s="5" t="str">
        <x:v>مدير المشتريات / المالية</x:v>
      </x:c>
      <x:c r="F152" s="5" t="str">
        <x:v>P2</x:v>
      </x:c>
      <x:c r="G152" s="5" t="str">
        <x:v>التشغيل</x:v>
      </x:c>
      <x:c r="H152" s="5" t="str">
        <x:v>مقترح للاعتماد</x:v>
      </x:c>
      <x:c r="I152" s="5" t="str">
        <x:v>الأمر المعدل لا يمحو النسخة السابقة.</x:v>
      </x:c>
      <x:c r="J152" s="5" t="str">
        <x:v>هوية موحدة + بيانات مرجعية + موافقات + مالك إجراء</x:v>
      </x:c>
      <x:c r="K152" s="5" t="str">
        <x:v>داخلي / حسب المشروع</x:v>
      </x:c>
      <x:c r="L152" s="5" t="str">
        <x:v>طلبات وأوامر وموردون موجودة؛ سير المطابقة غير مختبر</x:v>
      </x:c>
      <x:c r="M152" s="5" t="str">
        <x:v>بوابة 360: vendors/purchase_requests/purchase_orders</x:v>
      </x:c>
      <x:c r="N152" s="5" t="str">
        <x:v>https://lovable.dev/projects/33b3cb53-d107-4a33-86b4-f958b21171ad</x:v>
      </x:c>
    </x:row>
    <x:row r="153" ht="78" customHeight="1">
      <x:c r="A153" s="5" t="str">
        <x:v>PRC-09</x:v>
      </x:c>
      <x:c r="B153" s="5" t="str">
        <x:v>المشتريات والموردون</x:v>
      </x:c>
      <x:c r="C153" s="5" t="str">
        <x:v>بيانات الدفع</x:v>
      </x:c>
      <x:c r="D153" s="5" t="str">
        <x:v>تغيير الحساب البنكي بتحقق مستقل وإشعار وتوثيق.</x:v>
      </x:c>
      <x:c r="E153" s="5" t="str">
        <x:v>مدير المشتريات / المالية</x:v>
      </x:c>
      <x:c r="F153" s="5" t="str">
        <x:v>P2</x:v>
      </x:c>
      <x:c r="G153" s="5" t="str">
        <x:v>التشغيل</x:v>
      </x:c>
      <x:c r="H153" s="5" t="str">
        <x:v>مقترح للاعتماد</x:v>
      </x:c>
      <x:c r="I153" s="5" t="str">
        <x:v>طالب تغيير الحساب لا يعتمد التغيير وينفذ الدفع وحده.</x:v>
      </x:c>
      <x:c r="J153" s="5" t="str">
        <x:v>هوية موحدة + بيانات مرجعية + موافقات + مالك إجراء</x:v>
      </x:c>
      <x:c r="K153" s="5" t="str">
        <x:v>داخلي / حسب المشروع</x:v>
      </x:c>
      <x:c r="L153" s="5" t="str">
        <x:v>طلبات وأوامر وموردون موجودة؛ سير المطابقة غير مختبر</x:v>
      </x:c>
      <x:c r="M153" s="5" t="str">
        <x:v>بوابة 360: vendors/purchase_requests/purchase_orders</x:v>
      </x:c>
      <x:c r="N153" s="5" t="str">
        <x:v>https://lovable.dev/projects/33b3cb53-d107-4a33-86b4-f958b21171ad</x:v>
      </x:c>
    </x:row>
    <x:row r="154" ht="78" customHeight="1">
      <x:c r="A154" s="5" t="str">
        <x:v>PRC-10</x:v>
      </x:c>
      <x:c r="B154" s="5" t="str">
        <x:v>المشتريات والموردون</x:v>
      </x:c>
      <x:c r="C154" s="5" t="str">
        <x:v>أداء المورد</x:v>
      </x:c>
      <x:c r="D154" s="5" t="str">
        <x:v>تقييم جودة والتزام وسعر وسلامة وشكاوى حسب المشروع.</x:v>
      </x:c>
      <x:c r="E154" s="5" t="str">
        <x:v>مدير المشتريات / المالية</x:v>
      </x:c>
      <x:c r="F154" s="5" t="str">
        <x:v>P2</x:v>
      </x:c>
      <x:c r="G154" s="5" t="str">
        <x:v>التشغيل</x:v>
      </x:c>
      <x:c r="H154" s="5" t="str">
        <x:v>مقترح للاعتماد</x:v>
      </x:c>
      <x:c r="I154" s="5" t="str">
        <x:v>المورد المحظور لا يعاد اختياره دون رفع حظر مصدق.</x:v>
      </x:c>
      <x:c r="J154" s="5" t="str">
        <x:v>هوية موحدة + بيانات مرجعية + موافقات + مالك إجراء</x:v>
      </x:c>
      <x:c r="K154" s="5" t="str">
        <x:v>داخلي / حسب المشروع</x:v>
      </x:c>
      <x:c r="L154" s="5" t="str">
        <x:v>طلبات وأوامر وموردون موجودة؛ سير المطابقة غير مختبر</x:v>
      </x:c>
      <x:c r="M154" s="5" t="str">
        <x:v>بوابة 360: vendors/purchase_requests/purchase_orders</x:v>
      </x:c>
      <x:c r="N154" s="5" t="str">
        <x:v>https://lovable.dev/projects/33b3cb53-d107-4a33-86b4-f958b21171ad</x:v>
      </x:c>
    </x:row>
    <x:row r="155" ht="78" customHeight="1">
      <x:c r="A155" s="5" t="str">
        <x:v>LEG-01</x:v>
      </x:c>
      <x:c r="B155" s="5" t="str">
        <x:v>القانونية والخصوصية والملكية الفكرية</x:v>
      </x:c>
      <x:c r="C155" s="5" t="str">
        <x:v>سجل العقود</x:v>
      </x:c>
      <x:c r="D155" s="5" t="str">
        <x:v>طرف وقيمة ونطاق والتزامات وتجديد وإشعار ومالك ونسخة موقعة.</x:v>
      </x:c>
      <x:c r="E155" s="5" t="str">
        <x:v>القانونية / الخصوصية / الحوكمة</x:v>
      </x:c>
      <x:c r="F155" s="5" t="str">
        <x:v>P1</x:v>
      </x:c>
      <x:c r="G155" s="5" t="str">
        <x:v>الأساس</x:v>
      </x:c>
      <x:c r="H155" s="5" t="str">
        <x:v>مقترح للاعتماد</x:v>
      </x:c>
      <x:c r="I155" s="5" t="str">
        <x:v>كل موعد تجديد له تنبيه حسب نص العقد لا مدة عامة.</x:v>
      </x:c>
      <x:c r="J155" s="5" t="str">
        <x:v>هوية موحدة + بيانات مرجعية + موافقات + مالك إجراء</x:v>
      </x:c>
      <x:c r="K155" s="5" t="str">
        <x:v>حساس / صلاحية خاصة</x:v>
      </x:c>
      <x:c r="L155" s="5" t="str">
        <x:v>عقود ومخاطر عامة؛ دورة قانونية تخصصية غير مثبتة</x:v>
      </x:c>
      <x:c r="M155" s="5" t="str">
        <x:v>البروفايل؛ بوابة 360؛ مصادر SDAIA وNCA</x:v>
      </x:c>
      <x:c r="N155" s="5" t="str">
        <x:v>https://lovable.dev/projects/33b3cb53-d107-4a33-86b4-f958b21171ad</x:v>
      </x:c>
    </x:row>
    <x:row r="156" ht="78" customHeight="1">
      <x:c r="A156" s="5" t="str">
        <x:v>LEG-02</x:v>
      </x:c>
      <x:c r="B156" s="5" t="str">
        <x:v>القانونية والخصوصية والملكية الفكرية</x:v>
      </x:c>
      <x:c r="C156" s="5" t="str">
        <x:v>مراجعة وتوقيع</x:v>
      </x:c>
      <x:c r="D156" s="5" t="str">
        <x:v>قوالب معتمدة وتعديلات وتعليقات قانونية وصلاحية توقيع.</x:v>
      </x:c>
      <x:c r="E156" s="5" t="str">
        <x:v>القانونية / الخصوصية / الحوكمة</x:v>
      </x:c>
      <x:c r="F156" s="5" t="str">
        <x:v>P1</x:v>
      </x:c>
      <x:c r="G156" s="5" t="str">
        <x:v>الأساس</x:v>
      </x:c>
      <x:c r="H156" s="5" t="str">
        <x:v>مقترح للاعتماد</x:v>
      </x:c>
      <x:c r="I156" s="5" t="str">
        <x:v>النسخة الموقعة تطابق النسخة المعتمدة بلا تعديل لاحق.</x:v>
      </x:c>
      <x:c r="J156" s="5" t="str">
        <x:v>هوية موحدة + بيانات مرجعية + موافقات + مالك إجراء</x:v>
      </x:c>
      <x:c r="K156" s="5" t="str">
        <x:v>حساس / صلاحية خاصة</x:v>
      </x:c>
      <x:c r="L156" s="5" t="str">
        <x:v>عقود ومخاطر عامة؛ دورة قانونية تخصصية غير مثبتة</x:v>
      </x:c>
      <x:c r="M156" s="5" t="str">
        <x:v>البروفايل؛ بوابة 360؛ مصادر SDAIA وNCA</x:v>
      </x:c>
      <x:c r="N156" s="5" t="str">
        <x:v>https://lovable.dev/projects/33b3cb53-d107-4a33-86b4-f958b21171ad</x:v>
      </x:c>
    </x:row>
    <x:row r="157" ht="78" customHeight="1">
      <x:c r="A157" s="5" t="str">
        <x:v>LEG-03</x:v>
      </x:c>
      <x:c r="B157" s="5" t="str">
        <x:v>القانونية والخصوصية والملكية الفكرية</x:v>
      </x:c>
      <x:c r="C157" s="5" t="str">
        <x:v>الملكية الفكرية</x:v>
      </x:c>
      <x:c r="D157" s="5" t="str">
        <x:v>ملكية مصادر ومخرجات وعلامات وحقوق استخدام ومناطق ومدة.</x:v>
      </x:c>
      <x:c r="E157" s="5" t="str">
        <x:v>القانونية / الخصوصية / الحوكمة</x:v>
      </x:c>
      <x:c r="F157" s="5" t="str">
        <x:v>P1</x:v>
      </x:c>
      <x:c r="G157" s="5" t="str">
        <x:v>الأساس</x:v>
      </x:c>
      <x:c r="H157" s="5" t="str">
        <x:v>مقترح للاعتماد</x:v>
      </x:c>
      <x:c r="I157" s="5" t="str">
        <x:v>يمنع إعادة توزيع أصل مخالف لحق العميل أو الطرف الثالث.</x:v>
      </x:c>
      <x:c r="J157" s="5" t="str">
        <x:v>هوية موحدة + بيانات مرجعية + موافقات + مالك إجراء</x:v>
      </x:c>
      <x:c r="K157" s="5" t="str">
        <x:v>حساس / صلاحية خاصة</x:v>
      </x:c>
      <x:c r="L157" s="5" t="str">
        <x:v>عقود ومخاطر عامة؛ دورة قانونية تخصصية غير مثبتة</x:v>
      </x:c>
      <x:c r="M157" s="5" t="str">
        <x:v>البروفايل؛ بوابة 360؛ مصادر SDAIA وNCA</x:v>
      </x:c>
      <x:c r="N157" s="5" t="str">
        <x:v>https://lovable.dev/projects/33b3cb53-d107-4a33-86b4-f958b21171ad</x:v>
      </x:c>
    </x:row>
    <x:row r="158" ht="78" customHeight="1">
      <x:c r="A158" s="5" t="str">
        <x:v>LEG-04</x:v>
      </x:c>
      <x:c r="B158" s="5" t="str">
        <x:v>القانونية والخصوصية والملكية الفكرية</x:v>
      </x:c>
      <x:c r="C158" s="5" t="str">
        <x:v>التراخيص والتصاريح</x:v>
      </x:c>
      <x:c r="D158" s="5" t="str">
        <x:v>سجل تراخيص شركة ومهنيين ومواقع وتصاريح حسب الخدمة.</x:v>
      </x:c>
      <x:c r="E158" s="5" t="str">
        <x:v>القانونية / الخصوصية / الحوكمة</x:v>
      </x:c>
      <x:c r="F158" s="5" t="str">
        <x:v>P1</x:v>
      </x:c>
      <x:c r="G158" s="5" t="str">
        <x:v>الأساس</x:v>
      </x:c>
      <x:c r="H158" s="5" t="str">
        <x:v>مقترح للاعتماد</x:v>
      </x:c>
      <x:c r="I158" s="5" t="str">
        <x:v>المستندات المطلوبة تحدد بعد تحقق قانوني للحالة.</x:v>
      </x:c>
      <x:c r="J158" s="5" t="str">
        <x:v>هوية موحدة + بيانات مرجعية + موافقات + مالك إجراء</x:v>
      </x:c>
      <x:c r="K158" s="5" t="str">
        <x:v>حساس / صلاحية خاصة</x:v>
      </x:c>
      <x:c r="L158" s="5" t="str">
        <x:v>عقود ومخاطر عامة؛ دورة قانونية تخصصية غير مثبتة</x:v>
      </x:c>
      <x:c r="M158" s="5" t="str">
        <x:v>البروفايل؛ بوابة 360؛ مصادر SDAIA وNCA</x:v>
      </x:c>
      <x:c r="N158" s="5" t="str">
        <x:v>https://lovable.dev/projects/33b3cb53-d107-4a33-86b4-f958b21171ad</x:v>
      </x:c>
    </x:row>
    <x:row r="159" ht="78" customHeight="1">
      <x:c r="A159" s="5" t="str">
        <x:v>LEG-05</x:v>
      </x:c>
      <x:c r="B159" s="5" t="str">
        <x:v>القانونية والخصوصية والملكية الفكرية</x:v>
      </x:c>
      <x:c r="C159" s="5" t="str">
        <x:v>الخصوصية</x:v>
      </x:c>
      <x:c r="D159" s="5" t="str">
        <x:v>سجل أغراض وأسس معالجة وفئات بيانات ومستلمين ومتعهدين.</x:v>
      </x:c>
      <x:c r="E159" s="5" t="str">
        <x:v>القانونية / الخصوصية / الحوكمة</x:v>
      </x:c>
      <x:c r="F159" s="5" t="str">
        <x:v>P1</x:v>
      </x:c>
      <x:c r="G159" s="5" t="str">
        <x:v>الأساس</x:v>
      </x:c>
      <x:c r="H159" s="5" t="str">
        <x:v>مقترح للاعتماد</x:v>
      </x:c>
      <x:c r="I159" s="5" t="str">
        <x:v>لكل معالجة حساسة غرض ومالك وضوابط معتمدة.</x:v>
      </x:c>
      <x:c r="J159" s="5" t="str">
        <x:v>هوية موحدة + بيانات مرجعية + موافقات + مالك إجراء</x:v>
      </x:c>
      <x:c r="K159" s="5" t="str">
        <x:v>حساس / صلاحية خاصة</x:v>
      </x:c>
      <x:c r="L159" s="5" t="str">
        <x:v>عقود ومخاطر عامة؛ دورة قانونية تخصصية غير مثبتة</x:v>
      </x:c>
      <x:c r="M159" s="5" t="str">
        <x:v>البروفايل؛ بوابة 360؛ مصادر SDAIA وNCA</x:v>
      </x:c>
      <x:c r="N159" s="5" t="str">
        <x:v>https://lovable.dev/projects/33b3cb53-d107-4a33-86b4-f958b21171ad</x:v>
      </x:c>
    </x:row>
    <x:row r="160" ht="78" customHeight="1">
      <x:c r="A160" s="5" t="str">
        <x:v>LEG-06</x:v>
      </x:c>
      <x:c r="B160" s="5" t="str">
        <x:v>القانونية والخصوصية والملكية الفكرية</x:v>
      </x:c>
      <x:c r="C160" s="5" t="str">
        <x:v>الاحتفاظ والحقوق</x:v>
      </x:c>
      <x:c r="D160" s="5" t="str">
        <x:v>مدد احتفاظ حسب الفئة وطلبات وصول وتصحيح وإتلاف وتعليق قانوني.</x:v>
      </x:c>
      <x:c r="E160" s="5" t="str">
        <x:v>القانونية / الخصوصية / الحوكمة</x:v>
      </x:c>
      <x:c r="F160" s="5" t="str">
        <x:v>P1</x:v>
      </x:c>
      <x:c r="G160" s="5" t="str">
        <x:v>الأساس</x:v>
      </x:c>
      <x:c r="H160" s="5" t="str">
        <x:v>مقترح للاعتماد</x:v>
      </x:c>
      <x:c r="I160" s="5" t="str">
        <x:v>الإتلاف يتوقف عند وجود نزاع أو التزام حفظ واجب.</x:v>
      </x:c>
      <x:c r="J160" s="5" t="str">
        <x:v>هوية موحدة + بيانات مرجعية + موافقات + مالك إجراء</x:v>
      </x:c>
      <x:c r="K160" s="5" t="str">
        <x:v>حساس / صلاحية خاصة</x:v>
      </x:c>
      <x:c r="L160" s="5" t="str">
        <x:v>عقود ومخاطر عامة؛ دورة قانونية تخصصية غير مثبتة</x:v>
      </x:c>
      <x:c r="M160" s="5" t="str">
        <x:v>البروفايل؛ بوابة 360؛ مصادر SDAIA وNCA</x:v>
      </x:c>
      <x:c r="N160" s="5" t="str">
        <x:v>https://lovable.dev/projects/33b3cb53-d107-4a33-86b4-f958b21171ad</x:v>
      </x:c>
    </x:row>
    <x:row r="161" ht="78" customHeight="1">
      <x:c r="A161" s="5" t="str">
        <x:v>LEG-07</x:v>
      </x:c>
      <x:c r="B161" s="5" t="str">
        <x:v>القانونية والخصوصية والملكية الفكرية</x:v>
      </x:c>
      <x:c r="C161" s="5" t="str">
        <x:v>النقل الخارجي</x:v>
      </x:c>
      <x:c r="D161" s="5" t="str">
        <x:v>خريطة مواقع تخزين ونسخ احتياطية ودعم ومزودي AI وتقييم نقل.</x:v>
      </x:c>
      <x:c r="E161" s="5" t="str">
        <x:v>القانونية / الخصوصية / الحوكمة</x:v>
      </x:c>
      <x:c r="F161" s="5" t="str">
        <x:v>P1</x:v>
      </x:c>
      <x:c r="G161" s="5" t="str">
        <x:v>الأساس</x:v>
      </x:c>
      <x:c r="H161" s="5" t="str">
        <x:v>مقترح للاعتماد</x:v>
      </x:c>
      <x:c r="I161" s="5" t="str">
        <x:v>لا يستخدم مزود جديد قبل قبول مسار البيانات وشروطه.</x:v>
      </x:c>
      <x:c r="J161" s="5" t="str">
        <x:v>هوية موحدة + بيانات مرجعية + موافقات + مالك إجراء</x:v>
      </x:c>
      <x:c r="K161" s="5" t="str">
        <x:v>حساس / صلاحية خاصة</x:v>
      </x:c>
      <x:c r="L161" s="5" t="str">
        <x:v>عقود ومخاطر عامة؛ دورة قانونية تخصصية غير مثبتة</x:v>
      </x:c>
      <x:c r="M161" s="5" t="str">
        <x:v>البروفايل؛ بوابة 360؛ مصادر SDAIA وNCA</x:v>
      </x:c>
      <x:c r="N161" s="5" t="str">
        <x:v>https://lovable.dev/projects/33b3cb53-d107-4a33-86b4-f958b21171ad</x:v>
      </x:c>
    </x:row>
    <x:row r="162" ht="78" customHeight="1">
      <x:c r="A162" s="5" t="str">
        <x:v>LEG-08</x:v>
      </x:c>
      <x:c r="B162" s="5" t="str">
        <x:v>القانونية والخصوصية والملكية الفكرية</x:v>
      </x:c>
      <x:c r="C162" s="5" t="str">
        <x:v>النزاعات والبلاغات</x:v>
      </x:c>
      <x:c r="D162" s="5" t="str">
        <x:v>ملف سري للقضية والأدلة والمواعيد والمخولين.</x:v>
      </x:c>
      <x:c r="E162" s="5" t="str">
        <x:v>القانونية / الخصوصية / الحوكمة</x:v>
      </x:c>
      <x:c r="F162" s="5" t="str">
        <x:v>P1</x:v>
      </x:c>
      <x:c r="G162" s="5" t="str">
        <x:v>الأساس</x:v>
      </x:c>
      <x:c r="H162" s="5" t="str">
        <x:v>مقترح للاعتماد</x:v>
      </x:c>
      <x:c r="I162" s="5" t="str">
        <x:v>صلاحية القضية تمنح للحاجة ولا تورث من مدير النظام.</x:v>
      </x:c>
      <x:c r="J162" s="5" t="str">
        <x:v>هوية موحدة + بيانات مرجعية + موافقات + مالك إجراء</x:v>
      </x:c>
      <x:c r="K162" s="5" t="str">
        <x:v>حساس / صلاحية خاصة</x:v>
      </x:c>
      <x:c r="L162" s="5" t="str">
        <x:v>عقود ومخاطر عامة؛ دورة قانونية تخصصية غير مثبتة</x:v>
      </x:c>
      <x:c r="M162" s="5" t="str">
        <x:v>البروفايل؛ بوابة 360؛ مصادر SDAIA وNCA</x:v>
      </x:c>
      <x:c r="N162" s="5" t="str">
        <x:v>https://lovable.dev/projects/33b3cb53-d107-4a33-86b4-f958b21171ad</x:v>
      </x:c>
    </x:row>
    <x:row r="163" ht="78" customHeight="1">
      <x:c r="A163" s="5" t="str">
        <x:v>LEG-09</x:v>
      </x:c>
      <x:c r="B163" s="5" t="str">
        <x:v>القانونية والخصوصية والملكية الفكرية</x:v>
      </x:c>
      <x:c r="C163" s="5" t="str">
        <x:v>الالتزامات التنظيمية</x:v>
      </x:c>
      <x:c r="D163" s="5" t="str">
        <x:v>سجل قابل للتحديث للأنظمة التي تنطبق فعليًا على الشركة.</x:v>
      </x:c>
      <x:c r="E163" s="5" t="str">
        <x:v>القانونية / الخصوصية / الحوكمة</x:v>
      </x:c>
      <x:c r="F163" s="5" t="str">
        <x:v>P1</x:v>
      </x:c>
      <x:c r="G163" s="5" t="str">
        <x:v>الأساس</x:v>
      </x:c>
      <x:c r="H163" s="5" t="str">
        <x:v>مقترح للاعتماد</x:v>
      </x:c>
      <x:c r="I163" s="5" t="str">
        <x:v>كل ادعاء امتثال له مادة ومتطلب ودليل وتاريخ مراجعة.</x:v>
      </x:c>
      <x:c r="J163" s="5" t="str">
        <x:v>هوية موحدة + بيانات مرجعية + موافقات + مالك إجراء</x:v>
      </x:c>
      <x:c r="K163" s="5" t="str">
        <x:v>حساس / صلاحية خاصة</x:v>
      </x:c>
      <x:c r="L163" s="5" t="str">
        <x:v>عقود ومخاطر عامة؛ دورة قانونية تخصصية غير مثبتة</x:v>
      </x:c>
      <x:c r="M163" s="5" t="str">
        <x:v>البروفايل؛ بوابة 360؛ مصادر SDAIA وNCA</x:v>
      </x:c>
      <x:c r="N163" s="5" t="str">
        <x:v>https://lovable.dev/projects/33b3cb53-d107-4a33-86b4-f958b21171ad</x:v>
      </x:c>
    </x:row>
    <x:row r="164" ht="78" customHeight="1">
      <x:c r="A164" s="5" t="str">
        <x:v>LEG-10</x:v>
      </x:c>
      <x:c r="B164" s="5" t="str">
        <x:v>القانونية والخصوصية والملكية الفكرية</x:v>
      </x:c>
      <x:c r="C164" s="5" t="str">
        <x:v>إدارة الحوادث</x:v>
      </x:c>
      <x:c r="D164" s="5" t="str">
        <x:v>تصنيف حادث وتقييم أثر واستجابة وتواصل وإشعارات حسب الانطباق.</x:v>
      </x:c>
      <x:c r="E164" s="5" t="str">
        <x:v>القانونية / الخصوصية / الحوكمة</x:v>
      </x:c>
      <x:c r="F164" s="5" t="str">
        <x:v>P1</x:v>
      </x:c>
      <x:c r="G164" s="5" t="str">
        <x:v>الأساس</x:v>
      </x:c>
      <x:c r="H164" s="5" t="str">
        <x:v>مقترح للاعتماد</x:v>
      </x:c>
      <x:c r="I164" s="5" t="str">
        <x:v>تجربة محاكاة تثبت القدرة على كشف وتسلسل ومعالجة الحادث.</x:v>
      </x:c>
      <x:c r="J164" s="5" t="str">
        <x:v>هوية موحدة + بيانات مرجعية + موافقات + مالك إجراء</x:v>
      </x:c>
      <x:c r="K164" s="5" t="str">
        <x:v>حساس / صلاحية خاصة</x:v>
      </x:c>
      <x:c r="L164" s="5" t="str">
        <x:v>عقود ومخاطر عامة؛ دورة قانونية تخصصية غير مثبتة</x:v>
      </x:c>
      <x:c r="M164" s="5" t="str">
        <x:v>البروفايل؛ بوابة 360؛ مصادر SDAIA وNCA</x:v>
      </x:c>
      <x:c r="N164" s="5" t="str">
        <x:v>https://lovable.dev/projects/33b3cb53-d107-4a33-86b4-f958b21171ad</x:v>
      </x:c>
    </x:row>
    <x:row r="165" ht="78" customHeight="1">
      <x:c r="A165" s="5" t="str">
        <x:v>IT-01</x:v>
      </x:c>
      <x:c r="B165" s="5" t="str">
        <x:v>تقنية المعلومات والأمن</x:v>
      </x:c>
      <x:c r="C165" s="5" t="str">
        <x:v>هوية مؤسسية</x:v>
      </x:c>
      <x:c r="D165" s="5" t="str">
        <x:v>دخول موحد ومصادقة متعددة العوامل وربط المستخدم بالموظف.</x:v>
      </x:c>
      <x:c r="E165" s="5" t="str">
        <x:v>مسؤول التقنية / الأمن</x:v>
      </x:c>
      <x:c r="F165" s="5" t="str">
        <x:v>P1</x:v>
      </x:c>
      <x:c r="G165" s="5" t="str">
        <x:v>الأساس</x:v>
      </x:c>
      <x:c r="H165" s="5" t="str">
        <x:v>مقترح للاعتماد</x:v>
      </x:c>
      <x:c r="I165" s="5" t="str">
        <x:v>حساب شخصي لا يمنح صلاحية شركة دون دعوة موثقة.</x:v>
      </x:c>
      <x:c r="J165" s="5" t="str">
        <x:v>هوية موحدة + بيانات مرجعية + موافقات + مالك إجراء</x:v>
      </x:c>
      <x:c r="K165" s="5" t="str">
        <x:v>داخلي / حسب المشروع</x:v>
      </x:c>
      <x:c r="L165" s="5" t="str">
        <x:v>أصول وصلاحيات وتدقيق في البوابة؛ التشغيل الفعلي غير مثبت</x:v>
      </x:c>
      <x:c r="M165" s="5" t="str">
        <x:v>بوابة 360: assets/security/roles/audit؛ F01/F06/F09</x:v>
      </x:c>
      <x:c r="N165" s="5" t="str">
        <x:v>https://lovable.dev/projects/33b3cb53-d107-4a33-86b4-f958b21171ad</x:v>
      </x:c>
    </x:row>
    <x:row r="166" ht="78" customHeight="1">
      <x:c r="A166" s="5" t="str">
        <x:v>IT-02</x:v>
      </x:c>
      <x:c r="B166" s="5" t="str">
        <x:v>تقنية المعلومات والأمن</x:v>
      </x:c>
      <x:c r="C166" s="5" t="str">
        <x:v>دورة الوصول</x:v>
      </x:c>
      <x:c r="D166" s="5" t="str">
        <x:v>انضمام وانتقال ومغادرة ومراجعة ربع سنوية وتفويض مؤقت.</x:v>
      </x:c>
      <x:c r="E166" s="5" t="str">
        <x:v>مسؤول التقنية / الأمن</x:v>
      </x:c>
      <x:c r="F166" s="5" t="str">
        <x:v>P1</x:v>
      </x:c>
      <x:c r="G166" s="5" t="str">
        <x:v>الأساس</x:v>
      </x:c>
      <x:c r="H166" s="5" t="str">
        <x:v>مقترح للاعتماد</x:v>
      </x:c>
      <x:c r="I166" s="5" t="str">
        <x:v>انتهاء التفويض أو الخدمة يسحب الوصول تلقائيًا وفق السريان.</x:v>
      </x:c>
      <x:c r="J166" s="5" t="str">
        <x:v>هوية موحدة + بيانات مرجعية + موافقات + مالك إجراء</x:v>
      </x:c>
      <x:c r="K166" s="5" t="str">
        <x:v>داخلي / حسب المشروع</x:v>
      </x:c>
      <x:c r="L166" s="5" t="str">
        <x:v>أصول وصلاحيات وتدقيق في البوابة؛ التشغيل الفعلي غير مثبت</x:v>
      </x:c>
      <x:c r="M166" s="5" t="str">
        <x:v>بوابة 360: assets/security/roles/audit؛ F01/F06/F09</x:v>
      </x:c>
      <x:c r="N166" s="5" t="str">
        <x:v>https://lovable.dev/projects/33b3cb53-d107-4a33-86b4-f958b21171ad</x:v>
      </x:c>
    </x:row>
    <x:row r="167" ht="78" customHeight="1">
      <x:c r="A167" s="5" t="str">
        <x:v>IT-03</x:v>
      </x:c>
      <x:c r="B167" s="5" t="str">
        <x:v>تقنية المعلومات والأمن</x:v>
      </x:c>
      <x:c r="C167" s="5" t="str">
        <x:v>الدعم الفني</x:v>
      </x:c>
      <x:c r="D167" s="5" t="str">
        <x:v>تذاكر بخدمة وتأثير واستعجال ووقت استجابة وتصعيد ومعرفة.</x:v>
      </x:c>
      <x:c r="E167" s="5" t="str">
        <x:v>مسؤول التقنية / الأمن</x:v>
      </x:c>
      <x:c r="F167" s="5" t="str">
        <x:v>P1</x:v>
      </x:c>
      <x:c r="G167" s="5" t="str">
        <x:v>الأساس</x:v>
      </x:c>
      <x:c r="H167" s="5" t="str">
        <x:v>مقترح للاعتماد</x:v>
      </x:c>
      <x:c r="I167" s="5" t="str">
        <x:v>كل تذكرة مغلقة تحمل حلًا ودليلًا ورضا أو سبب إغلاق.</x:v>
      </x:c>
      <x:c r="J167" s="5" t="str">
        <x:v>هوية موحدة + بيانات مرجعية + موافقات + مالك إجراء</x:v>
      </x:c>
      <x:c r="K167" s="5" t="str">
        <x:v>داخلي / حسب المشروع</x:v>
      </x:c>
      <x:c r="L167" s="5" t="str">
        <x:v>أصول وصلاحيات وتدقيق في البوابة؛ التشغيل الفعلي غير مثبت</x:v>
      </x:c>
      <x:c r="M167" s="5" t="str">
        <x:v>بوابة 360: assets/security/roles/audit؛ F01/F06/F09</x:v>
      </x:c>
      <x:c r="N167" s="5" t="str">
        <x:v>https://lovable.dev/projects/33b3cb53-d107-4a33-86b4-f958b21171ad</x:v>
      </x:c>
    </x:row>
    <x:row r="168" ht="78" customHeight="1">
      <x:c r="A168" s="5" t="str">
        <x:v>IT-04</x:v>
      </x:c>
      <x:c r="B168" s="5" t="str">
        <x:v>تقنية المعلومات والأمن</x:v>
      </x:c>
      <x:c r="C168" s="5" t="str">
        <x:v>الأجهزة والتراخيص</x:v>
      </x:c>
      <x:c r="D168" s="5" t="str">
        <x:v>سجل أصل ومالك وعهدة وضمان وبرمجيات وتكلفة وتجديد.</x:v>
      </x:c>
      <x:c r="E168" s="5" t="str">
        <x:v>مسؤول التقنية / الأمن</x:v>
      </x:c>
      <x:c r="F168" s="5" t="str">
        <x:v>P1</x:v>
      </x:c>
      <x:c r="G168" s="5" t="str">
        <x:v>الأساس</x:v>
      </x:c>
      <x:c r="H168" s="5" t="str">
        <x:v>مقترح للاعتماد</x:v>
      </x:c>
      <x:c r="I168" s="5" t="str">
        <x:v>تطابق العهدة مع الموظف وموقع الأصل وتاريخ الإعادة.</x:v>
      </x:c>
      <x:c r="J168" s="5" t="str">
        <x:v>هوية موحدة + بيانات مرجعية + موافقات + مالك إجراء</x:v>
      </x:c>
      <x:c r="K168" s="5" t="str">
        <x:v>داخلي / حسب المشروع</x:v>
      </x:c>
      <x:c r="L168" s="5" t="str">
        <x:v>أصول وصلاحيات وتدقيق في البوابة؛ التشغيل الفعلي غير مثبت</x:v>
      </x:c>
      <x:c r="M168" s="5" t="str">
        <x:v>بوابة 360: assets/security/roles/audit؛ F01/F06/F09</x:v>
      </x:c>
      <x:c r="N168" s="5" t="str">
        <x:v>https://lovable.dev/projects/33b3cb53-d107-4a33-86b4-f958b21171ad</x:v>
      </x:c>
    </x:row>
    <x:row r="169" ht="78" customHeight="1">
      <x:c r="A169" s="5" t="str">
        <x:v>IT-05</x:v>
      </x:c>
      <x:c r="B169" s="5" t="str">
        <x:v>تقنية المعلومات والأمن</x:v>
      </x:c>
      <x:c r="C169" s="5" t="str">
        <x:v>إدارة الأسرار</x:v>
      </x:c>
      <x:c r="D169" s="5" t="str">
        <x:v>خزنة أسرار ودوران ومفاتيح منفصلة للبيئات وسجل استخدام.</x:v>
      </x:c>
      <x:c r="E169" s="5" t="str">
        <x:v>مسؤول التقنية / الأمن</x:v>
      </x:c>
      <x:c r="F169" s="5" t="str">
        <x:v>P1</x:v>
      </x:c>
      <x:c r="G169" s="5" t="str">
        <x:v>الأساس</x:v>
      </x:c>
      <x:c r="H169" s="5" t="str">
        <x:v>مقترح للاعتماد</x:v>
      </x:c>
      <x:c r="I169" s="5" t="str">
        <x:v>لا يظهر سر في الكود أو الوصف أو سجل خطأ أو ملف تصدير.</x:v>
      </x:c>
      <x:c r="J169" s="5" t="str">
        <x:v>هوية موحدة + بيانات مرجعية + موافقات + مالك إجراء</x:v>
      </x:c>
      <x:c r="K169" s="5" t="str">
        <x:v>داخلي / حسب المشروع</x:v>
      </x:c>
      <x:c r="L169" s="5" t="str">
        <x:v>أصول وصلاحيات وتدقيق في البوابة؛ التشغيل الفعلي غير مثبت</x:v>
      </x:c>
      <x:c r="M169" s="5" t="str">
        <x:v>بوابة 360: assets/security/roles/audit؛ F01/F06/F09</x:v>
      </x:c>
      <x:c r="N169" s="5" t="str">
        <x:v>https://lovable.dev/projects/33b3cb53-d107-4a33-86b4-f958b21171ad</x:v>
      </x:c>
    </x:row>
    <x:row r="170" ht="78" customHeight="1">
      <x:c r="A170" s="5" t="str">
        <x:v>IT-06</x:v>
      </x:c>
      <x:c r="B170" s="5" t="str">
        <x:v>تقنية المعلومات والأمن</x:v>
      </x:c>
      <x:c r="C170" s="5" t="str">
        <x:v>النشر والتغيير</x:v>
      </x:c>
      <x:c r="D170" s="5" t="str">
        <x:v>مراجعة كود واختبارات وبيئة تجريبية وموافقة نشر وخطة رجوع.</x:v>
      </x:c>
      <x:c r="E170" s="5" t="str">
        <x:v>مسؤول التقنية / الأمن</x:v>
      </x:c>
      <x:c r="F170" s="5" t="str">
        <x:v>P1</x:v>
      </x:c>
      <x:c r="G170" s="5" t="str">
        <x:v>الأساس</x:v>
      </x:c>
      <x:c r="H170" s="5" t="str">
        <x:v>مقترح للاعتماد</x:v>
      </x:c>
      <x:c r="I170" s="5" t="str">
        <x:v>تعطل اختبار حساس يمنع النشر للإنتاج.</x:v>
      </x:c>
      <x:c r="J170" s="5" t="str">
        <x:v>هوية موحدة + بيانات مرجعية + موافقات + مالك إجراء</x:v>
      </x:c>
      <x:c r="K170" s="5" t="str">
        <x:v>داخلي / حسب المشروع</x:v>
      </x:c>
      <x:c r="L170" s="5" t="str">
        <x:v>أصول وصلاحيات وتدقيق في البوابة؛ التشغيل الفعلي غير مثبت</x:v>
      </x:c>
      <x:c r="M170" s="5" t="str">
        <x:v>بوابة 360: assets/security/roles/audit؛ F01/F06/F09</x:v>
      </x:c>
      <x:c r="N170" s="5" t="str">
        <x:v>https://lovable.dev/projects/33b3cb53-d107-4a33-86b4-f958b21171ad</x:v>
      </x:c>
    </x:row>
    <x:row r="171" ht="78" customHeight="1">
      <x:c r="A171" s="5" t="str">
        <x:v>IT-07</x:v>
      </x:c>
      <x:c r="B171" s="5" t="str">
        <x:v>تقنية المعلومات والأمن</x:v>
      </x:c>
      <x:c r="C171" s="5" t="str">
        <x:v>الرصد</x:v>
      </x:c>
      <x:c r="D171" s="5" t="str">
        <x:v>مراقبة أداء وأخطاء ووصول غير اعتيادي وأعطال التكامل.</x:v>
      </x:c>
      <x:c r="E171" s="5" t="str">
        <x:v>مسؤول التقنية / الأمن</x:v>
      </x:c>
      <x:c r="F171" s="5" t="str">
        <x:v>P1</x:v>
      </x:c>
      <x:c r="G171" s="5" t="str">
        <x:v>الأساس</x:v>
      </x:c>
      <x:c r="H171" s="5" t="str">
        <x:v>مقترح للاعتماد</x:v>
      </x:c>
      <x:c r="I171" s="5" t="str">
        <x:v>تجربة فشل تولد تنبيهًا للمسؤول دون كشف بيانات حساسة.</x:v>
      </x:c>
      <x:c r="J171" s="5" t="str">
        <x:v>هوية موحدة + بيانات مرجعية + موافقات + مالك إجراء</x:v>
      </x:c>
      <x:c r="K171" s="5" t="str">
        <x:v>داخلي / حسب المشروع</x:v>
      </x:c>
      <x:c r="L171" s="5" t="str">
        <x:v>أصول وصلاحيات وتدقيق في البوابة؛ التشغيل الفعلي غير مثبت</x:v>
      </x:c>
      <x:c r="M171" s="5" t="str">
        <x:v>بوابة 360: assets/security/roles/audit؛ F01/F06/F09</x:v>
      </x:c>
      <x:c r="N171" s="5" t="str">
        <x:v>https://lovable.dev/projects/33b3cb53-d107-4a33-86b4-f958b21171ad</x:v>
      </x:c>
    </x:row>
    <x:row r="172" ht="78" customHeight="1">
      <x:c r="A172" s="5" t="str">
        <x:v>IT-08</x:v>
      </x:c>
      <x:c r="B172" s="5" t="str">
        <x:v>تقنية المعلومات والأمن</x:v>
      </x:c>
      <x:c r="C172" s="5" t="str">
        <x:v>النسخ والاستعادة</x:v>
      </x:c>
      <x:c r="D172" s="5" t="str">
        <x:v>نسخ مشفرة لقاعدة البيانات والملفات والإعدادات مع تمرين استعادة.</x:v>
      </x:c>
      <x:c r="E172" s="5" t="str">
        <x:v>مسؤول التقنية / الأمن</x:v>
      </x:c>
      <x:c r="F172" s="5" t="str">
        <x:v>P1</x:v>
      </x:c>
      <x:c r="G172" s="5" t="str">
        <x:v>الأساس</x:v>
      </x:c>
      <x:c r="H172" s="5" t="str">
        <x:v>مقترح للاعتماد</x:v>
      </x:c>
      <x:c r="I172" s="5" t="str">
        <x:v>قياس وقت الاستعادة وفقد البيانات الفعلي مقابل الأهداف المعتمدة.</x:v>
      </x:c>
      <x:c r="J172" s="5" t="str">
        <x:v>هوية موحدة + بيانات مرجعية + موافقات + مالك إجراء</x:v>
      </x:c>
      <x:c r="K172" s="5" t="str">
        <x:v>داخلي / حسب المشروع</x:v>
      </x:c>
      <x:c r="L172" s="5" t="str">
        <x:v>أصول وصلاحيات وتدقيق في البوابة؛ التشغيل الفعلي غير مثبت</x:v>
      </x:c>
      <x:c r="M172" s="5" t="str">
        <x:v>بوابة 360: assets/security/roles/audit؛ F01/F06/F09</x:v>
      </x:c>
      <x:c r="N172" s="5" t="str">
        <x:v>https://lovable.dev/projects/33b3cb53-d107-4a33-86b4-f958b21171ad</x:v>
      </x:c>
    </x:row>
    <x:row r="173" ht="78" customHeight="1">
      <x:c r="A173" s="5" t="str">
        <x:v>IT-09</x:v>
      </x:c>
      <x:c r="B173" s="5" t="str">
        <x:v>تقنية المعلومات والأمن</x:v>
      </x:c>
      <x:c r="C173" s="5" t="str">
        <x:v>اختبار العزل</x:v>
      </x:c>
      <x:c r="D173" s="5" t="str">
        <x:v>اختبارات مستخدم وعميل وكيان وأدوار على API والتخزين والبحث.</x:v>
      </x:c>
      <x:c r="E173" s="5" t="str">
        <x:v>مسؤول التقنية / الأمن</x:v>
      </x:c>
      <x:c r="F173" s="5" t="str">
        <x:v>P1</x:v>
      </x:c>
      <x:c r="G173" s="5" t="str">
        <x:v>الأساس</x:v>
      </x:c>
      <x:c r="H173" s="5" t="str">
        <x:v>مقترح للاعتماد</x:v>
      </x:c>
      <x:c r="I173" s="5" t="str">
        <x:v>لا يكشف الرابط المباشر أو التصدير بيانات خارج النطاق.</x:v>
      </x:c>
      <x:c r="J173" s="5" t="str">
        <x:v>هوية موحدة + بيانات مرجعية + موافقات + مالك إجراء</x:v>
      </x:c>
      <x:c r="K173" s="5" t="str">
        <x:v>داخلي / حسب المشروع</x:v>
      </x:c>
      <x:c r="L173" s="5" t="str">
        <x:v>أصول وصلاحيات وتدقيق في البوابة؛ التشغيل الفعلي غير مثبت</x:v>
      </x:c>
      <x:c r="M173" s="5" t="str">
        <x:v>بوابة 360: assets/security/roles/audit؛ F01/F06/F09</x:v>
      </x:c>
      <x:c r="N173" s="5" t="str">
        <x:v>https://lovable.dev/projects/33b3cb53-d107-4a33-86b4-f958b21171ad</x:v>
      </x:c>
    </x:row>
    <x:row r="174" ht="78" customHeight="1">
      <x:c r="A174" s="5" t="str">
        <x:v>IT-10</x:v>
      </x:c>
      <x:c r="B174" s="5" t="str">
        <x:v>تقنية المعلومات والأمن</x:v>
      </x:c>
      <x:c r="C174" s="5" t="str">
        <x:v>الاستجابة والتعافي</x:v>
      </x:c>
      <x:c r="D174" s="5" t="str">
        <x:v>دليل طوارئ ومسؤول وبديل وتواصل وتشغيل بديل.</x:v>
      </x:c>
      <x:c r="E174" s="5" t="str">
        <x:v>مسؤول التقنية / الأمن</x:v>
      </x:c>
      <x:c r="F174" s="5" t="str">
        <x:v>P1</x:v>
      </x:c>
      <x:c r="G174" s="5" t="str">
        <x:v>الأساس</x:v>
      </x:c>
      <x:c r="H174" s="5" t="str">
        <x:v>مقترح للاعتماد</x:v>
      </x:c>
      <x:c r="I174" s="5" t="str">
        <x:v>يمكن استعادة الخدمات الحرجة دون الاعتماد على شخص واحد.</x:v>
      </x:c>
      <x:c r="J174" s="5" t="str">
        <x:v>هوية موحدة + بيانات مرجعية + موافقات + مالك إجراء</x:v>
      </x:c>
      <x:c r="K174" s="5" t="str">
        <x:v>داخلي / حسب المشروع</x:v>
      </x:c>
      <x:c r="L174" s="5" t="str">
        <x:v>أصول وصلاحيات وتدقيق في البوابة؛ التشغيل الفعلي غير مثبت</x:v>
      </x:c>
      <x:c r="M174" s="5" t="str">
        <x:v>بوابة 360: assets/security/roles/audit؛ F01/F06/F09</x:v>
      </x:c>
      <x:c r="N174" s="5" t="str">
        <x:v>https://lovable.dev/projects/33b3cb53-d107-4a33-86b4-f958b21171ad</x:v>
      </x:c>
    </x:row>
    <x:row r="175" ht="78" customHeight="1">
      <x:c r="A175" s="5" t="str">
        <x:v>ADM-01</x:v>
      </x:c>
      <x:c r="B175" s="5" t="str">
        <x:v>الشؤون الإدارية والمرافق</x:v>
      </x:c>
      <x:c r="C175" s="5" t="str">
        <x:v>المرافق والصيانة</x:v>
      </x:c>
      <x:c r="D175" s="5" t="str">
        <x:v>طلبات صيانة وقائية وتصحيحية ومواقع وأصول وموردين.</x:v>
      </x:c>
      <x:c r="E175" s="5" t="str">
        <x:v>الخدمات المشتركة / الإدارة</x:v>
      </x:c>
      <x:c r="F175" s="5" t="str">
        <x:v>P1</x:v>
      </x:c>
      <x:c r="G175" s="5" t="str">
        <x:v>التوسع</x:v>
      </x:c>
      <x:c r="H175" s="5" t="str">
        <x:v>مقترح للاعتماد</x:v>
      </x:c>
      <x:c r="I175" s="5" t="str">
        <x:v>كل عطل له أولوية ومسؤول وتاريخ حل وسجل تكرار.</x:v>
      </x:c>
      <x:c r="J175" s="5" t="str">
        <x:v>هوية موحدة + بيانات مرجعية + موافقات + مالك إجراء</x:v>
      </x:c>
      <x:c r="K175" s="5" t="str">
        <x:v>داخلي / حسب المشروع</x:v>
      </x:c>
      <x:c r="L175" s="5" t="str">
        <x:v>قاعات وأصول وخدمات عامة؛ إجراءات تفصيلية غير مثبتة</x:v>
      </x:c>
      <x:c r="M175" s="5" t="str">
        <x:v>بوابة 360: workplace/assets/service_requests</x:v>
      </x:c>
      <x:c r="N175" s="5" t="str">
        <x:v>https://lovable.dev/projects/33b3cb53-d107-4a33-86b4-f958b21171ad</x:v>
      </x:c>
    </x:row>
    <x:row r="176" ht="78" customHeight="1">
      <x:c r="A176" s="5" t="str">
        <x:v>ADM-02</x:v>
      </x:c>
      <x:c r="B176" s="5" t="str">
        <x:v>الشؤون الإدارية والمرافق</x:v>
      </x:c>
      <x:c r="C176" s="5" t="str">
        <x:v>القاعات والحجوزات</x:v>
      </x:c>
      <x:c r="D176" s="5" t="str">
        <x:v>حجز قاعة وتجهيزات وحضور ونمط اجتماع وإلغاء.</x:v>
      </x:c>
      <x:c r="E176" s="5" t="str">
        <x:v>الخدمات المشتركة / الإدارة</x:v>
      </x:c>
      <x:c r="F176" s="5" t="str">
        <x:v>P1</x:v>
      </x:c>
      <x:c r="G176" s="5" t="str">
        <x:v>التوسع</x:v>
      </x:c>
      <x:c r="H176" s="5" t="str">
        <x:v>مقترح للاعتماد</x:v>
      </x:c>
      <x:c r="I176" s="5" t="str">
        <x:v>لا يتعارض حجزان مؤكدان للقاعة نفسها.</x:v>
      </x:c>
      <x:c r="J176" s="5" t="str">
        <x:v>هوية موحدة + بيانات مرجعية + موافقات + مالك إجراء</x:v>
      </x:c>
      <x:c r="K176" s="5" t="str">
        <x:v>داخلي / حسب المشروع</x:v>
      </x:c>
      <x:c r="L176" s="5" t="str">
        <x:v>قاعات وأصول وخدمات عامة؛ إجراءات تفصيلية غير مثبتة</x:v>
      </x:c>
      <x:c r="M176" s="5" t="str">
        <x:v>بوابة 360: workplace/assets/service_requests</x:v>
      </x:c>
      <x:c r="N176" s="5" t="str">
        <x:v>https://lovable.dev/projects/33b3cb53-d107-4a33-86b4-f958b21171ad</x:v>
      </x:c>
    </x:row>
    <x:row r="177" ht="78" customHeight="1">
      <x:c r="A177" s="5" t="str">
        <x:v>ADM-03</x:v>
      </x:c>
      <x:c r="B177" s="5" t="str">
        <x:v>الشؤون الإدارية والمرافق</x:v>
      </x:c>
      <x:c r="C177" s="5" t="str">
        <x:v>الضيوف والدخول</x:v>
      </x:c>
      <x:c r="D177" s="5" t="str">
        <x:v>دعوة وزائر ومضيف وتصريح ومدة وموقع.</x:v>
      </x:c>
      <x:c r="E177" s="5" t="str">
        <x:v>الخدمات المشتركة / الإدارة</x:v>
      </x:c>
      <x:c r="F177" s="5" t="str">
        <x:v>P1</x:v>
      </x:c>
      <x:c r="G177" s="5" t="str">
        <x:v>التوسع</x:v>
      </x:c>
      <x:c r="H177" s="5" t="str">
        <x:v>مقترح للاعتماد</x:v>
      </x:c>
      <x:c r="I177" s="5" t="str">
        <x:v>ينتهي تصريح الدخول تلقائيًا بنهاية الغرض المصرح.</x:v>
      </x:c>
      <x:c r="J177" s="5" t="str">
        <x:v>هوية موحدة + بيانات مرجعية + موافقات + مالك إجراء</x:v>
      </x:c>
      <x:c r="K177" s="5" t="str">
        <x:v>داخلي / حسب المشروع</x:v>
      </x:c>
      <x:c r="L177" s="5" t="str">
        <x:v>قاعات وأصول وخدمات عامة؛ إجراءات تفصيلية غير مثبتة</x:v>
      </x:c>
      <x:c r="M177" s="5" t="str">
        <x:v>بوابة 360: workplace/assets/service_requests</x:v>
      </x:c>
      <x:c r="N177" s="5" t="str">
        <x:v>https://lovable.dev/projects/33b3cb53-d107-4a33-86b4-f958b21171ad</x:v>
      </x:c>
    </x:row>
    <x:row r="178" ht="78" customHeight="1">
      <x:c r="A178" s="5" t="str">
        <x:v>ADM-04</x:v>
      </x:c>
      <x:c r="B178" s="5" t="str">
        <x:v>الشؤون الإدارية والمرافق</x:v>
      </x:c>
      <x:c r="C178" s="5" t="str">
        <x:v>السفر والانتداب</x:v>
      </x:c>
      <x:c r="D178" s="5" t="str">
        <x:v>طلب مهمة وميزانية وحجوزات وسياسة حسب الدرجة وتسوية.</x:v>
      </x:c>
      <x:c r="E178" s="5" t="str">
        <x:v>الخدمات المشتركة / الإدارة</x:v>
      </x:c>
      <x:c r="F178" s="5" t="str">
        <x:v>P1</x:v>
      </x:c>
      <x:c r="G178" s="5" t="str">
        <x:v>التوسع</x:v>
      </x:c>
      <x:c r="H178" s="5" t="str">
        <x:v>مقترح للاعتماد</x:v>
      </x:c>
      <x:c r="I178" s="5" t="str">
        <x:v>الصرف يربط بالمهمة وموافقاتها ولا يكرر في المطالبة.</x:v>
      </x:c>
      <x:c r="J178" s="5" t="str">
        <x:v>هوية موحدة + بيانات مرجعية + موافقات + مالك إجراء</x:v>
      </x:c>
      <x:c r="K178" s="5" t="str">
        <x:v>داخلي / حسب المشروع</x:v>
      </x:c>
      <x:c r="L178" s="5" t="str">
        <x:v>قاعات وأصول وخدمات عامة؛ إجراءات تفصيلية غير مثبتة</x:v>
      </x:c>
      <x:c r="M178" s="5" t="str">
        <x:v>بوابة 360: workplace/assets/service_requests</x:v>
      </x:c>
      <x:c r="N178" s="5" t="str">
        <x:v>https://lovable.dev/projects/33b3cb53-d107-4a33-86b4-f958b21171ad</x:v>
      </x:c>
    </x:row>
    <x:row r="179" ht="78" customHeight="1">
      <x:c r="A179" s="5" t="str">
        <x:v>ADM-05</x:v>
      </x:c>
      <x:c r="B179" s="5" t="str">
        <x:v>الشؤون الإدارية والمرافق</x:v>
      </x:c>
      <x:c r="C179" s="5" t="str">
        <x:v>المصروفات والعهد</x:v>
      </x:c>
      <x:c r="D179" s="5" t="str">
        <x:v>عهدة نقدية ومطالبات وإيصالات وتسويات حسب المشروع.</x:v>
      </x:c>
      <x:c r="E179" s="5" t="str">
        <x:v>الخدمات المشتركة / الإدارة</x:v>
      </x:c>
      <x:c r="F179" s="5" t="str">
        <x:v>P2</x:v>
      </x:c>
      <x:c r="G179" s="5" t="str">
        <x:v>التوسع</x:v>
      </x:c>
      <x:c r="H179" s="5" t="str">
        <x:v>مقترح للاعتماد</x:v>
      </x:c>
      <x:c r="I179" s="5" t="str">
        <x:v>لا تصرف عهدة جديدة خلاف السياسة مع عهدة متأخرة دون استثناء.</x:v>
      </x:c>
      <x:c r="J179" s="5" t="str">
        <x:v>هوية موحدة + بيانات مرجعية + موافقات + مالك إجراء</x:v>
      </x:c>
      <x:c r="K179" s="5" t="str">
        <x:v>داخلي / حسب المشروع</x:v>
      </x:c>
      <x:c r="L179" s="5" t="str">
        <x:v>قاعات وأصول وخدمات عامة؛ إجراءات تفصيلية غير مثبتة</x:v>
      </x:c>
      <x:c r="M179" s="5" t="str">
        <x:v>بوابة 360: workplace/assets/service_requests</x:v>
      </x:c>
      <x:c r="N179" s="5" t="str">
        <x:v>https://lovable.dev/projects/33b3cb53-d107-4a33-86b4-f958b21171ad</x:v>
      </x:c>
    </x:row>
    <x:row r="180" ht="78" customHeight="1">
      <x:c r="A180" s="5" t="str">
        <x:v>ADM-06</x:v>
      </x:c>
      <x:c r="B180" s="5" t="str">
        <x:v>الشؤون الإدارية والمرافق</x:v>
      </x:c>
      <x:c r="C180" s="5" t="str">
        <x:v>المراسلات الرسمية</x:v>
      </x:c>
      <x:c r="D180" s="5" t="str">
        <x:v>قوالب ورقم صادر وتفويض توقيع ومستلم ومرفقات.</x:v>
      </x:c>
      <x:c r="E180" s="5" t="str">
        <x:v>الخدمات المشتركة / الإدارة</x:v>
      </x:c>
      <x:c r="F180" s="5" t="str">
        <x:v>P2</x:v>
      </x:c>
      <x:c r="G180" s="5" t="str">
        <x:v>التوسع</x:v>
      </x:c>
      <x:c r="H180" s="5" t="str">
        <x:v>مقترح للاعتماد</x:v>
      </x:c>
      <x:c r="I180" s="5" t="str">
        <x:v>يمكن إثبات النسخة التي خرجت باسم الشركة.</x:v>
      </x:c>
      <x:c r="J180" s="5" t="str">
        <x:v>هوية موحدة + بيانات مرجعية + موافقات + مالك إجراء</x:v>
      </x:c>
      <x:c r="K180" s="5" t="str">
        <x:v>داخلي / حسب المشروع</x:v>
      </x:c>
      <x:c r="L180" s="5" t="str">
        <x:v>قاعات وأصول وخدمات عامة؛ إجراءات تفصيلية غير مثبتة</x:v>
      </x:c>
      <x:c r="M180" s="5" t="str">
        <x:v>بوابة 360: workplace/assets/service_requests</x:v>
      </x:c>
      <x:c r="N180" s="5" t="str">
        <x:v>https://lovable.dev/projects/33b3cb53-d107-4a33-86b4-f958b21171ad</x:v>
      </x:c>
    </x:row>
    <x:row r="181" ht="78" customHeight="1">
      <x:c r="A181" s="5" t="str">
        <x:v>ADM-07</x:v>
      </x:c>
      <x:c r="B181" s="5" t="str">
        <x:v>الشؤون الإدارية والمرافق</x:v>
      </x:c>
      <x:c r="C181" s="5" t="str">
        <x:v>المخزون الخفيف</x:v>
      </x:c>
      <x:c r="D181" s="5" t="str">
        <x:v>مواد دعائية ومطبوعات وهدايا ومستلزمات وحدود إعادة الطلب.</x:v>
      </x:c>
      <x:c r="E181" s="5" t="str">
        <x:v>الخدمات المشتركة / الإدارة</x:v>
      </x:c>
      <x:c r="F181" s="5" t="str">
        <x:v>P2</x:v>
      </x:c>
      <x:c r="G181" s="5" t="str">
        <x:v>التوسع</x:v>
      </x:c>
      <x:c r="H181" s="5" t="str">
        <x:v>مقترح للاعتماد</x:v>
      </x:c>
      <x:c r="I181" s="5" t="str">
        <x:v>إصدار المواد لمشروع يحدّث الرصيد والتكلفة.</x:v>
      </x:c>
      <x:c r="J181" s="5" t="str">
        <x:v>هوية موحدة + بيانات مرجعية + موافقات + مالك إجراء</x:v>
      </x:c>
      <x:c r="K181" s="5" t="str">
        <x:v>داخلي / حسب المشروع</x:v>
      </x:c>
      <x:c r="L181" s="5" t="str">
        <x:v>قاعات وأصول وخدمات عامة؛ إجراءات تفصيلية غير مثبتة</x:v>
      </x:c>
      <x:c r="M181" s="5" t="str">
        <x:v>بوابة 360: workplace/assets/service_requests</x:v>
      </x:c>
      <x:c r="N181" s="5" t="str">
        <x:v>https://lovable.dev/projects/33b3cb53-d107-4a33-86b4-f958b21171ad</x:v>
      </x:c>
    </x:row>
    <x:row r="182" ht="78" customHeight="1">
      <x:c r="A182" s="5" t="str">
        <x:v>ADM-08</x:v>
      </x:c>
      <x:c r="B182" s="5" t="str">
        <x:v>الشؤون الإدارية والمرافق</x:v>
      </x:c>
      <x:c r="C182" s="5" t="str">
        <x:v>الاشتراكات والعقود</x:v>
      </x:c>
      <x:c r="D182" s="5" t="str">
        <x:v>إيجارات ومرافق واتصالات وتأمين واشتراكات وتجديدات.</x:v>
      </x:c>
      <x:c r="E182" s="5" t="str">
        <x:v>الخدمات المشتركة / الإدارة</x:v>
      </x:c>
      <x:c r="F182" s="5" t="str">
        <x:v>P2</x:v>
      </x:c>
      <x:c r="G182" s="5" t="str">
        <x:v>التوسع</x:v>
      </x:c>
      <x:c r="H182" s="5" t="str">
        <x:v>مقترح للاعتماد</x:v>
      </x:c>
      <x:c r="I182" s="5" t="str">
        <x:v>تنبيه يجمع العقود المتكررة لتجنب التجديد المزدوج.</x:v>
      </x:c>
      <x:c r="J182" s="5" t="str">
        <x:v>هوية موحدة + بيانات مرجعية + موافقات + مالك إجراء</x:v>
      </x:c>
      <x:c r="K182" s="5" t="str">
        <x:v>داخلي / حسب المشروع</x:v>
      </x:c>
      <x:c r="L182" s="5" t="str">
        <x:v>قاعات وأصول وخدمات عامة؛ إجراءات تفصيلية غير مثبتة</x:v>
      </x:c>
      <x:c r="M182" s="5" t="str">
        <x:v>بوابة 360: workplace/assets/service_requests</x:v>
      </x:c>
      <x:c r="N182" s="5" t="str">
        <x:v>https://lovable.dev/projects/33b3cb53-d107-4a33-86b4-f958b21171ad</x:v>
      </x:c>
    </x:row>
    <x:row r="183" ht="78" customHeight="1">
      <x:c r="A183" s="5" t="str">
        <x:v>ADM-09</x:v>
      </x:c>
      <x:c r="B183" s="5" t="str">
        <x:v>الشؤون الإدارية والمرافق</x:v>
      </x:c>
      <x:c r="C183" s="5" t="str">
        <x:v>السلامة والطوارئ</x:v>
      </x:c>
      <x:c r="D183" s="5" t="str">
        <x:v>بلاغات سلامة وتفتيش وتجارب إخلاء ومخاطر مواقع العمل.</x:v>
      </x:c>
      <x:c r="E183" s="5" t="str">
        <x:v>الخدمات المشتركة / الإدارة</x:v>
      </x:c>
      <x:c r="F183" s="5" t="str">
        <x:v>P2</x:v>
      </x:c>
      <x:c r="G183" s="5" t="str">
        <x:v>التوسع</x:v>
      </x:c>
      <x:c r="H183" s="5" t="str">
        <x:v>مقترح للاعتماد</x:v>
      </x:c>
      <x:c r="I183" s="5" t="str">
        <x:v>كل ملاحظة سلامة عالية الأثر لها إجراء ومالك قبل الفعالية.</x:v>
      </x:c>
      <x:c r="J183" s="5" t="str">
        <x:v>هوية موحدة + بيانات مرجعية + موافقات + مالك إجراء</x:v>
      </x:c>
      <x:c r="K183" s="5" t="str">
        <x:v>داخلي / حسب المشروع</x:v>
      </x:c>
      <x:c r="L183" s="5" t="str">
        <x:v>قاعات وأصول وخدمات عامة؛ إجراءات تفصيلية غير مثبتة</x:v>
      </x:c>
      <x:c r="M183" s="5" t="str">
        <x:v>بوابة 360: workplace/assets/service_requests</x:v>
      </x:c>
      <x:c r="N183" s="5" t="str">
        <x:v>https://lovable.dev/projects/33b3cb53-d107-4a33-86b4-f958b21171ad</x:v>
      </x:c>
    </x:row>
    <x:row r="184" ht="78" customHeight="1">
      <x:c r="A184" s="5" t="str">
        <x:v>ADM-10</x:v>
      </x:c>
      <x:c r="B184" s="5" t="str">
        <x:v>الشؤون الإدارية والمرافق</x:v>
      </x:c>
      <x:c r="C184" s="5" t="str">
        <x:v>مستوى الخدمة</x:v>
      </x:c>
      <x:c r="D184" s="5" t="str">
        <x:v>كتالوج إداري بالمدة والتكلفة والمستندات والتصعيد.</x:v>
      </x:c>
      <x:c r="E184" s="5" t="str">
        <x:v>الخدمات المشتركة / الإدارة</x:v>
      </x:c>
      <x:c r="F184" s="5" t="str">
        <x:v>P2</x:v>
      </x:c>
      <x:c r="G184" s="5" t="str">
        <x:v>التوسع</x:v>
      </x:c>
      <x:c r="H184" s="5" t="str">
        <x:v>مقترح للاعتماد</x:v>
      </x:c>
      <x:c r="I184" s="5" t="str">
        <x:v>يرى طالب الخدمة متطلبات الخدمة قبل إرسال الطلب.</x:v>
      </x:c>
      <x:c r="J184" s="5" t="str">
        <x:v>هوية موحدة + بيانات مرجعية + موافقات + مالك إجراء</x:v>
      </x:c>
      <x:c r="K184" s="5" t="str">
        <x:v>داخلي / حسب المشروع</x:v>
      </x:c>
      <x:c r="L184" s="5" t="str">
        <x:v>قاعات وأصول وخدمات عامة؛ إجراءات تفصيلية غير مثبتة</x:v>
      </x:c>
      <x:c r="M184" s="5" t="str">
        <x:v>بوابة 360: workplace/assets/service_requests</x:v>
      </x:c>
      <x:c r="N184" s="5" t="str">
        <x:v>https://lovable.dev/projects/33b3cb53-d107-4a33-86b4-f958b21171ad</x:v>
      </x:c>
    </x:row>
    <x:row r="185" ht="78" customHeight="1">
      <x:c r="A185" s="5" t="str">
        <x:v>EXP-01</x:v>
      </x:c>
      <x:c r="B185" s="5" t="str">
        <x:v>التواصل الداخلي وتجربة الموظف</x:v>
      </x:c>
      <x:c r="C185" s="5" t="str">
        <x:v>المحتوى الداخلي</x:v>
      </x:c>
      <x:c r="D185" s="5" t="str">
        <x:v>تقويم مناسبات وحملات داخلية وأخبار وموافقات وقنوات.</x:v>
      </x:c>
      <x:c r="E185" s="5" t="str">
        <x:v>رأس المال البشري / التواصل الداخلي</x:v>
      </x:c>
      <x:c r="F185" s="5" t="str">
        <x:v>P1</x:v>
      </x:c>
      <x:c r="G185" s="5" t="str">
        <x:v>التوسع</x:v>
      </x:c>
      <x:c r="H185" s="5" t="str">
        <x:v>مقترح للاعتماد</x:v>
      </x:c>
      <x:c r="I185" s="5" t="str">
        <x:v>لا ينشر خبر حساس دون اعتماد صاحب المعلومة.</x:v>
      </x:c>
      <x:c r="J185" s="5" t="str">
        <x:v>هوية موحدة + بيانات مرجعية + موافقات + مالك إجراء</x:v>
      </x:c>
      <x:c r="K185" s="5" t="str">
        <x:v>داخلي / حسب المشروع</x:v>
      </x:c>
      <x:c r="L185" s="5" t="str">
        <x:v>عدة تطبيقات تجربة موظف واستبانات وتوقيع</x:v>
      </x:c>
      <x:c r="M185" s="5" t="str">
        <x:v>مشاريع Lovable ذات الصلة؛ بيانات وصفية غالبًا</x:v>
      </x:c>
      <x:c r="N185" s="5" t="str">
        <x:v>https://lovable.dev/projects/33b3cb53-d107-4a33-86b4-f958b21171ad</x:v>
      </x:c>
    </x:row>
    <x:row r="186" ht="78" customHeight="1">
      <x:c r="A186" s="5" t="str">
        <x:v>EXP-02</x:v>
      </x:c>
      <x:c r="B186" s="5" t="str">
        <x:v>التواصل الداخلي وتجربة الموظف</x:v>
      </x:c>
      <x:c r="C186" s="5" t="str">
        <x:v>محرك الاستبانات</x:v>
      </x:c>
      <x:c r="D186" s="5" t="str">
        <x:v>قالب قابل للتهيئة ونسخة وأسئلة وجمهور وفترة وتصدير.</x:v>
      </x:c>
      <x:c r="E186" s="5" t="str">
        <x:v>رأس المال البشري / التواصل الداخلي</x:v>
      </x:c>
      <x:c r="F186" s="5" t="str">
        <x:v>P1</x:v>
      </x:c>
      <x:c r="G186" s="5" t="str">
        <x:v>التوسع</x:v>
      </x:c>
      <x:c r="H186" s="5" t="str">
        <x:v>مقترح للاعتماد</x:v>
      </x:c>
      <x:c r="I186" s="5" t="str">
        <x:v>لا يغير سؤال بعد بدء الإجابات دون نسخة جديدة.</x:v>
      </x:c>
      <x:c r="J186" s="5" t="str">
        <x:v>هوية موحدة + بيانات مرجعية + موافقات + مالك إجراء</x:v>
      </x:c>
      <x:c r="K186" s="5" t="str">
        <x:v>داخلي / حسب المشروع</x:v>
      </x:c>
      <x:c r="L186" s="5" t="str">
        <x:v>عدة تطبيقات تجربة موظف واستبانات وتوقيع</x:v>
      </x:c>
      <x:c r="M186" s="5" t="str">
        <x:v>مشاريع Lovable ذات الصلة؛ بيانات وصفية غالبًا</x:v>
      </x:c>
      <x:c r="N186" s="5" t="str">
        <x:v>https://lovable.dev/projects/33b3cb53-d107-4a33-86b4-f958b21171ad</x:v>
      </x:c>
    </x:row>
    <x:row r="187" ht="78" customHeight="1">
      <x:c r="A187" s="5" t="str">
        <x:v>EXP-03</x:v>
      </x:c>
      <x:c r="B187" s="5" t="str">
        <x:v>التواصل الداخلي وتجربة الموظف</x:v>
      </x:c>
      <x:c r="C187" s="5" t="str">
        <x:v>قياس الفعاليات</x:v>
      </x:c>
      <x:c r="D187" s="5" t="str">
        <x:v>دعوات وحضور وتكلفة وتقييم ودروس وخطة تحسين.</x:v>
      </x:c>
      <x:c r="E187" s="5" t="str">
        <x:v>رأس المال البشري / التواصل الداخلي</x:v>
      </x:c>
      <x:c r="F187" s="5" t="str">
        <x:v>P1</x:v>
      </x:c>
      <x:c r="G187" s="5" t="str">
        <x:v>التوسع</x:v>
      </x:c>
      <x:c r="H187" s="5" t="str">
        <x:v>مقترح للاعتماد</x:v>
      </x:c>
      <x:c r="I187" s="5" t="str">
        <x:v>لا تخلط إجابات فعاليتين في التقرير نفسه.</x:v>
      </x:c>
      <x:c r="J187" s="5" t="str">
        <x:v>هوية موحدة + بيانات مرجعية + موافقات + مالك إجراء</x:v>
      </x:c>
      <x:c r="K187" s="5" t="str">
        <x:v>داخلي / حسب المشروع</x:v>
      </x:c>
      <x:c r="L187" s="5" t="str">
        <x:v>عدة تطبيقات تجربة موظف واستبانات وتوقيع</x:v>
      </x:c>
      <x:c r="M187" s="5" t="str">
        <x:v>مشاريع Lovable ذات الصلة؛ بيانات وصفية غالبًا</x:v>
      </x:c>
      <x:c r="N187" s="5" t="str">
        <x:v>https://lovable.dev/projects/33b3cb53-d107-4a33-86b4-f958b21171ad</x:v>
      </x:c>
    </x:row>
    <x:row r="188" ht="78" customHeight="1">
      <x:c r="A188" s="5" t="str">
        <x:v>EXP-04</x:v>
      </x:c>
      <x:c r="B188" s="5" t="str">
        <x:v>التواصل الداخلي وتجربة الموظف</x:v>
      </x:c>
      <x:c r="C188" s="5" t="str">
        <x:v>التقدير الشهري</x:v>
      </x:c>
      <x:c r="D188" s="5" t="str">
        <x:v>أهلية وترشيح وأدلة وتقييم وتعارض مصالح واعتماد وإعلان.</x:v>
      </x:c>
      <x:c r="E188" s="5" t="str">
        <x:v>رأس المال البشري / التواصل الداخلي</x:v>
      </x:c>
      <x:c r="F188" s="5" t="str">
        <x:v>P1</x:v>
      </x:c>
      <x:c r="G188" s="5" t="str">
        <x:v>التوسع</x:v>
      </x:c>
      <x:c r="H188" s="5" t="str">
        <x:v>مقترح للاعتماد</x:v>
      </x:c>
      <x:c r="I188" s="5" t="str">
        <x:v>لا يحول التصويت تلقائيًا إلى استحقاق ترقية أو جزاء.</x:v>
      </x:c>
      <x:c r="J188" s="5" t="str">
        <x:v>هوية موحدة + بيانات مرجعية + موافقات + مالك إجراء</x:v>
      </x:c>
      <x:c r="K188" s="5" t="str">
        <x:v>داخلي / حسب المشروع</x:v>
      </x:c>
      <x:c r="L188" s="5" t="str">
        <x:v>عدة تطبيقات تجربة موظف واستبانات وتوقيع</x:v>
      </x:c>
      <x:c r="M188" s="5" t="str">
        <x:v>مشاريع Lovable ذات الصلة؛ بيانات وصفية غالبًا</x:v>
      </x:c>
      <x:c r="N188" s="5" t="str">
        <x:v>https://lovable.dev/projects/33b3cb53-d107-4a33-86b4-f958b21171ad</x:v>
      </x:c>
    </x:row>
    <x:row r="189" ht="78" customHeight="1">
      <x:c r="A189" s="5" t="str">
        <x:v>EXP-05</x:v>
      </x:c>
      <x:c r="B189" s="5" t="str">
        <x:v>التواصل الداخلي وتجربة الموظف</x:v>
      </x:c>
      <x:c r="C189" s="5" t="str">
        <x:v>القيم والثقافة</x:v>
      </x:c>
      <x:c r="D189" s="5" t="str">
        <x:v>قياس القيم بأدلة وتعريفات وفصلها عن الإنجاز الوظيفي.</x:v>
      </x:c>
      <x:c r="E189" s="5" t="str">
        <x:v>رأس المال البشري / التواصل الداخلي</x:v>
      </x:c>
      <x:c r="F189" s="5" t="str">
        <x:v>P2</x:v>
      </x:c>
      <x:c r="G189" s="5" t="str">
        <x:v>التوسع</x:v>
      </x:c>
      <x:c r="H189" s="5" t="str">
        <x:v>مقترح للاعتماد</x:v>
      </x:c>
      <x:c r="I189" s="5" t="str">
        <x:v>تظهر حدود تفسير النتيجة عند قلة المشاركة.</x:v>
      </x:c>
      <x:c r="J189" s="5" t="str">
        <x:v>هوية موحدة + بيانات مرجعية + موافقات + مالك إجراء</x:v>
      </x:c>
      <x:c r="K189" s="5" t="str">
        <x:v>داخلي / حسب المشروع</x:v>
      </x:c>
      <x:c r="L189" s="5" t="str">
        <x:v>عدة تطبيقات تجربة موظف واستبانات وتوقيع</x:v>
      </x:c>
      <x:c r="M189" s="5" t="str">
        <x:v>مشاريع Lovable ذات الصلة؛ بيانات وصفية غالبًا</x:v>
      </x:c>
      <x:c r="N189" s="5" t="str">
        <x:v>https://lovable.dev/projects/33b3cb53-d107-4a33-86b4-f958b21171ad</x:v>
      </x:c>
    </x:row>
    <x:row r="190" ht="78" customHeight="1">
      <x:c r="A190" s="5" t="str">
        <x:v>EXP-06</x:v>
      </x:c>
      <x:c r="B190" s="5" t="str">
        <x:v>التواصل الداخلي وتجربة الموظف</x:v>
      </x:c>
      <x:c r="C190" s="5" t="str">
        <x:v>اللقاءات الفردية</x:v>
      </x:c>
      <x:c r="D190" s="5" t="str">
        <x:v>أجندة واتفاقات ومتابعة بصلاحيات خاصة للمشارك والمدير.</x:v>
      </x:c>
      <x:c r="E190" s="5" t="str">
        <x:v>رأس المال البشري / التواصل الداخلي</x:v>
      </x:c>
      <x:c r="F190" s="5" t="str">
        <x:v>P2</x:v>
      </x:c>
      <x:c r="G190" s="5" t="str">
        <x:v>التوسع</x:v>
      </x:c>
      <x:c r="H190" s="5" t="str">
        <x:v>مقترح للاعتماد</x:v>
      </x:c>
      <x:c r="I190" s="5" t="str">
        <x:v>الملاحظات الشخصية لا تظهر في لوحة قيادة عامة.</x:v>
      </x:c>
      <x:c r="J190" s="5" t="str">
        <x:v>هوية موحدة + بيانات مرجعية + موافقات + مالك إجراء</x:v>
      </x:c>
      <x:c r="K190" s="5" t="str">
        <x:v>حساس / صلاحية خاصة</x:v>
      </x:c>
      <x:c r="L190" s="5" t="str">
        <x:v>عدة تطبيقات تجربة موظف واستبانات وتوقيع</x:v>
      </x:c>
      <x:c r="M190" s="5" t="str">
        <x:v>مشاريع Lovable ذات الصلة؛ بيانات وصفية غالبًا</x:v>
      </x:c>
      <x:c r="N190" s="5" t="str">
        <x:v>https://lovable.dev/projects/33b3cb53-d107-4a33-86b4-f958b21171ad</x:v>
      </x:c>
    </x:row>
    <x:row r="191" ht="78" customHeight="1">
      <x:c r="A191" s="5" t="str">
        <x:v>EXP-07</x:v>
      </x:c>
      <x:c r="B191" s="5" t="str">
        <x:v>التواصل الداخلي وتجربة الموظف</x:v>
      </x:c>
      <x:c r="C191" s="5" t="str">
        <x:v>صوت الموظف</x:v>
      </x:c>
      <x:c r="D191" s="5" t="str">
        <x:v>بلاغ أو اقتراح سري ورقم تتبع ومخولون ومنع كشف الهوية غير اللازم.</x:v>
      </x:c>
      <x:c r="E191" s="5" t="str">
        <x:v>رأس المال البشري / التواصل الداخلي</x:v>
      </x:c>
      <x:c r="F191" s="5" t="str">
        <x:v>P2</x:v>
      </x:c>
      <x:c r="G191" s="5" t="str">
        <x:v>التوسع</x:v>
      </x:c>
      <x:c r="H191" s="5" t="str">
        <x:v>مقترح للاعتماد</x:v>
      </x:c>
      <x:c r="I191" s="5" t="str">
        <x:v>الجمهور لا يقرأ السجل الكامل بعد الإرسال أو أثناءه.</x:v>
      </x:c>
      <x:c r="J191" s="5" t="str">
        <x:v>هوية موحدة + بيانات مرجعية + موافقات + مالك إجراء</x:v>
      </x:c>
      <x:c r="K191" s="5" t="str">
        <x:v>حساس / صلاحية خاصة</x:v>
      </x:c>
      <x:c r="L191" s="5" t="str">
        <x:v>عدة تطبيقات تجربة موظف واستبانات وتوقيع</x:v>
      </x:c>
      <x:c r="M191" s="5" t="str">
        <x:v>مشاريع Lovable ذات الصلة؛ بيانات وصفية غالبًا</x:v>
      </x:c>
      <x:c r="N191" s="5" t="str">
        <x:v>https://lovable.dev/projects/33b3cb53-d107-4a33-86b4-f958b21171ad</x:v>
      </x:c>
    </x:row>
    <x:row r="192" ht="78" customHeight="1">
      <x:c r="A192" s="5" t="str">
        <x:v>EXP-08</x:v>
      </x:c>
      <x:c r="B192" s="5" t="str">
        <x:v>التواصل الداخلي وتجربة الموظف</x:v>
      </x:c>
      <x:c r="C192" s="5" t="str">
        <x:v>رحلة الترحيب</x:v>
      </x:c>
      <x:c r="D192" s="5" t="str">
        <x:v>محتوى تهيئة ومسارات حسب الدور وتوثيق استلام السياسات.</x:v>
      </x:c>
      <x:c r="E192" s="5" t="str">
        <x:v>رأس المال البشري / التواصل الداخلي</x:v>
      </x:c>
      <x:c r="F192" s="5" t="str">
        <x:v>P2</x:v>
      </x:c>
      <x:c r="G192" s="5" t="str">
        <x:v>التوسع</x:v>
      </x:c>
      <x:c r="H192" s="5" t="str">
        <x:v>مقترح للاعتماد</x:v>
      </x:c>
      <x:c r="I192" s="5" t="str">
        <x:v>المحتوى التفاعلي مرتبط بإنجاز حقيقي لا زيارة صفحة فقط.</x:v>
      </x:c>
      <x:c r="J192" s="5" t="str">
        <x:v>هوية موحدة + بيانات مرجعية + موافقات + مالك إجراء</x:v>
      </x:c>
      <x:c r="K192" s="5" t="str">
        <x:v>داخلي / حسب المشروع</x:v>
      </x:c>
      <x:c r="L192" s="5" t="str">
        <x:v>عدة تطبيقات تجربة موظف واستبانات وتوقيع</x:v>
      </x:c>
      <x:c r="M192" s="5" t="str">
        <x:v>مشاريع Lovable ذات الصلة؛ بيانات وصفية غالبًا</x:v>
      </x:c>
      <x:c r="N192" s="5" t="str">
        <x:v>https://lovable.dev/projects/33b3cb53-d107-4a33-86b4-f958b21171ad</x:v>
      </x:c>
    </x:row>
    <x:row r="193" ht="78" customHeight="1">
      <x:c r="A193" s="5" t="str">
        <x:v>EXP-09</x:v>
      </x:c>
      <x:c r="B193" s="5" t="str">
        <x:v>التواصل الداخلي وتجربة الموظف</x:v>
      </x:c>
      <x:c r="C193" s="5" t="str">
        <x:v>التوقيع والهوية</x:v>
      </x:c>
      <x:c r="D193" s="5" t="str">
        <x:v>قالب توقيع موحد يعتمد الاسم والمسمى المعتمدين مع تاريخ سريان.</x:v>
      </x:c>
      <x:c r="E193" s="5" t="str">
        <x:v>رأس المال البشري / التواصل الداخلي</x:v>
      </x:c>
      <x:c r="F193" s="5" t="str">
        <x:v>P2</x:v>
      </x:c>
      <x:c r="G193" s="5" t="str">
        <x:v>التوسع</x:v>
      </x:c>
      <x:c r="H193" s="5" t="str">
        <x:v>مقترح للاعتماد</x:v>
      </x:c>
      <x:c r="I193" s="5" t="str">
        <x:v>ترقية الموظف تحدث القالب دون تعديل يدوي متضارب.</x:v>
      </x:c>
      <x:c r="J193" s="5" t="str">
        <x:v>هوية موحدة + بيانات مرجعية + موافقات + مالك إجراء</x:v>
      </x:c>
      <x:c r="K193" s="5" t="str">
        <x:v>داخلي / حسب المشروع</x:v>
      </x:c>
      <x:c r="L193" s="5" t="str">
        <x:v>عدة تطبيقات تجربة موظف واستبانات وتوقيع</x:v>
      </x:c>
      <x:c r="M193" s="5" t="str">
        <x:v>مشاريع Lovable ذات الصلة؛ بيانات وصفية غالبًا</x:v>
      </x:c>
      <x:c r="N193" s="5" t="str">
        <x:v>https://lovable.dev/projects/33b3cb53-d107-4a33-86b4-f958b21171ad</x:v>
      </x:c>
    </x:row>
    <x:row r="194" ht="78" customHeight="1">
      <x:c r="A194" s="5" t="str">
        <x:v>EXP-10</x:v>
      </x:c>
      <x:c r="B194" s="5" t="str">
        <x:v>التواصل الداخلي وتجربة الموظف</x:v>
      </x:c>
      <x:c r="C194" s="5" t="str">
        <x:v>التوديع والمعرفة</x:v>
      </x:c>
      <x:c r="D194" s="5" t="str">
        <x:v>بطاقة توديع اختيارية وتسليم معرفة وإذن استخدام الصور.</x:v>
      </x:c>
      <x:c r="E194" s="5" t="str">
        <x:v>رأس المال البشري / التواصل الداخلي</x:v>
      </x:c>
      <x:c r="F194" s="5" t="str">
        <x:v>P2</x:v>
      </x:c>
      <x:c r="G194" s="5" t="str">
        <x:v>التوسع</x:v>
      </x:c>
      <x:c r="H194" s="5" t="str">
        <x:v>مقترح للاعتماد</x:v>
      </x:c>
      <x:c r="I194" s="5" t="str">
        <x:v>بطاقة التوديع لا تنشر مستحقات أو سبب إنهاء الخدمة.</x:v>
      </x:c>
      <x:c r="J194" s="5" t="str">
        <x:v>هوية موحدة + بيانات مرجعية + موافقات + مالك إجراء</x:v>
      </x:c>
      <x:c r="K194" s="5" t="str">
        <x:v>داخلي / حسب المشروع</x:v>
      </x:c>
      <x:c r="L194" s="5" t="str">
        <x:v>عدة تطبيقات تجربة موظف واستبانات وتوقيع</x:v>
      </x:c>
      <x:c r="M194" s="5" t="str">
        <x:v>مشاريع Lovable ذات الصلة؛ بيانات وصفية غالبًا</x:v>
      </x:c>
      <x:c r="N194" s="5" t="str">
        <x:v>https://lovable.dev/projects/33b3cb53-d107-4a33-86b4-f958b21171ad</x:v>
      </x:c>
    </x:row>
    <x:row r="195" ht="78" customHeight="1">
      <x:c r="A195" s="5" t="str">
        <x:v>DAT-01</x:v>
      </x:c>
      <x:c r="B195" s="5" t="str">
        <x:v>البيانات والتحليلات والذكاء الاصطناعي</x:v>
      </x:c>
      <x:c r="C195" s="5" t="str">
        <x:v>قاموس المؤشرات</x:v>
      </x:c>
      <x:c r="D195" s="5" t="str">
        <x:v>تعريف البسط والمقام والفترة والمصدر والمالك والاستثناءات.</x:v>
      </x:c>
      <x:c r="E195" s="5" t="str">
        <x:v>مالك البيانات / التحليلات</x:v>
      </x:c>
      <x:c r="F195" s="5" t="str">
        <x:v>P1</x:v>
      </x:c>
      <x:c r="G195" s="5" t="str">
        <x:v>التحليلات</x:v>
      </x:c>
      <x:c r="H195" s="5" t="str">
        <x:v>مقترح للاعتماد</x:v>
      </x:c>
      <x:c r="I195" s="5" t="str">
        <x:v>نسبة الحضور والتوطين والهامش تطابق التعريف نفسه بكل لوحة.</x:v>
      </x:c>
      <x:c r="J195" s="5" t="str">
        <x:v>هوية موحدة + بيانات مرجعية + موافقات + مالك إجراء</x:v>
      </x:c>
      <x:c r="K195" s="5" t="str">
        <x:v>داخلي / حسب المشروع</x:v>
      </x:c>
      <x:c r="L195" s="5" t="str">
        <x:v>تقارير أسبوعية ومؤشرات؛ توحيد المصادر غير مثبت</x:v>
      </x:c>
      <x:c r="M195" s="5" t="str">
        <x:v>Executive Insights: reports.ts؛ HR: queries.ts</x:v>
      </x:c>
      <x:c r="N195" s="5" t="str">
        <x:v>https://lovable.dev/projects/33b3cb53-d107-4a33-86b4-f958b21171ad</x:v>
      </x:c>
    </x:row>
    <x:row r="196" ht="78" customHeight="1">
      <x:c r="A196" s="5" t="str">
        <x:v>DAT-02</x:v>
      </x:c>
      <x:c r="B196" s="5" t="str">
        <x:v>البيانات والتحليلات والذكاء الاصطناعي</x:v>
      </x:c>
      <x:c r="C196" s="5" t="str">
        <x:v>جودة البيانات</x:v>
      </x:c>
      <x:c r="D196" s="5" t="str">
        <x:v>اختبارات اكتمال وتكرار وتعارض وتواريخ غير منطقية.</x:v>
      </x:c>
      <x:c r="E196" s="5" t="str">
        <x:v>مالك البيانات / التحليلات</x:v>
      </x:c>
      <x:c r="F196" s="5" t="str">
        <x:v>P1</x:v>
      </x:c>
      <x:c r="G196" s="5" t="str">
        <x:v>التحليلات</x:v>
      </x:c>
      <x:c r="H196" s="5" t="str">
        <x:v>مقترح للاعتماد</x:v>
      </x:c>
      <x:c r="I196" s="5" t="str">
        <x:v>لا تختفي السجلات الفاشلة؛ تدخل قائمة معالجة بمالك.</x:v>
      </x:c>
      <x:c r="J196" s="5" t="str">
        <x:v>هوية موحدة + بيانات مرجعية + موافقات + مالك إجراء</x:v>
      </x:c>
      <x:c r="K196" s="5" t="str">
        <x:v>داخلي / حسب المشروع</x:v>
      </x:c>
      <x:c r="L196" s="5" t="str">
        <x:v>تقارير أسبوعية ومؤشرات؛ توحيد المصادر غير مثبت</x:v>
      </x:c>
      <x:c r="M196" s="5" t="str">
        <x:v>Executive Insights: reports.ts؛ HR: queries.ts</x:v>
      </x:c>
      <x:c r="N196" s="5" t="str">
        <x:v>https://lovable.dev/projects/33b3cb53-d107-4a33-86b4-f958b21171ad</x:v>
      </x:c>
    </x:row>
    <x:row r="197" ht="78" customHeight="1">
      <x:c r="A197" s="5" t="str">
        <x:v>DAT-03</x:v>
      </x:c>
      <x:c r="B197" s="5" t="str">
        <x:v>البيانات والتحليلات والذكاء الاصطناعي</x:v>
      </x:c>
      <x:c r="C197" s="5" t="str">
        <x:v>اللقطات الدورية</x:v>
      </x:c>
      <x:c r="D197" s="5" t="str">
        <x:v>حفظ نسخة تقرير مؤرخة ومصدرها ومعتمدها مع إمكانية المقارنة.</x:v>
      </x:c>
      <x:c r="E197" s="5" t="str">
        <x:v>مالك البيانات / التحليلات</x:v>
      </x:c>
      <x:c r="F197" s="5" t="str">
        <x:v>P1</x:v>
      </x:c>
      <x:c r="G197" s="5" t="str">
        <x:v>التحليلات</x:v>
      </x:c>
      <x:c r="H197" s="5" t="str">
        <x:v>مقترح للاعتماد</x:v>
      </x:c>
      <x:c r="I197" s="5" t="str">
        <x:v>تعديل المصدر لاحقًا لا يعيد كتابة التقرير المنشور بصمت.</x:v>
      </x:c>
      <x:c r="J197" s="5" t="str">
        <x:v>هوية موحدة + بيانات مرجعية + موافقات + مالك إجراء</x:v>
      </x:c>
      <x:c r="K197" s="5" t="str">
        <x:v>داخلي / حسب المشروع</x:v>
      </x:c>
      <x:c r="L197" s="5" t="str">
        <x:v>تقارير أسبوعية ومؤشرات؛ توحيد المصادر غير مثبت</x:v>
      </x:c>
      <x:c r="M197" s="5" t="str">
        <x:v>Executive Insights: reports.ts؛ HR: queries.ts</x:v>
      </x:c>
      <x:c r="N197" s="5" t="str">
        <x:v>https://lovable.dev/projects/33b3cb53-d107-4a33-86b4-f958b21171ad</x:v>
      </x:c>
    </x:row>
    <x:row r="198" ht="78" customHeight="1">
      <x:c r="A198" s="5" t="str">
        <x:v>DAT-04</x:v>
      </x:c>
      <x:c r="B198" s="5" t="str">
        <x:v>البيانات والتحليلات والذكاء الاصطناعي</x:v>
      </x:c>
      <x:c r="C198" s="5" t="str">
        <x:v>التحليل المالي</x:v>
      </x:c>
      <x:c r="D198" s="5" t="str">
        <x:v>ربحية عميل ومشروع وخدمة مع تكلفة مباشرة وغير مباشرة معتمدة.</x:v>
      </x:c>
      <x:c r="E198" s="5" t="str">
        <x:v>مالك البيانات / التحليلات</x:v>
      </x:c>
      <x:c r="F198" s="5" t="str">
        <x:v>P1</x:v>
      </x:c>
      <x:c r="G198" s="5" t="str">
        <x:v>التحليلات</x:v>
      </x:c>
      <x:c r="H198" s="5" t="str">
        <x:v>مقترح للاعتماد</x:v>
      </x:c>
      <x:c r="I198" s="5" t="str">
        <x:v>يمكن تفسير كل عنصر تكلفة والانتقال إلى مصدره.</x:v>
      </x:c>
      <x:c r="J198" s="5" t="str">
        <x:v>هوية موحدة + بيانات مرجعية + موافقات + مالك إجراء</x:v>
      </x:c>
      <x:c r="K198" s="5" t="str">
        <x:v>داخلي / حسب المشروع</x:v>
      </x:c>
      <x:c r="L198" s="5" t="str">
        <x:v>تقارير أسبوعية ومؤشرات؛ توحيد المصادر غير مثبت</x:v>
      </x:c>
      <x:c r="M198" s="5" t="str">
        <x:v>Executive Insights: reports.ts؛ HR: queries.ts</x:v>
      </x:c>
      <x:c r="N198" s="5" t="str">
        <x:v>https://lovable.dev/projects/33b3cb53-d107-4a33-86b4-f958b21171ad</x:v>
      </x:c>
    </x:row>
    <x:row r="199" ht="78" customHeight="1">
      <x:c r="A199" s="5" t="str">
        <x:v>DAT-05</x:v>
      </x:c>
      <x:c r="B199" s="5" t="str">
        <x:v>البيانات والتحليلات والذكاء الاصطناعي</x:v>
      </x:c>
      <x:c r="C199" s="5" t="str">
        <x:v>تحليل الطاقة</x:v>
      </x:c>
      <x:c r="D199" s="5" t="str">
        <x:v>إنتاجية واستغلال سعة ومراجعات وإعادة عمل حسب المشروع.</x:v>
      </x:c>
      <x:c r="E199" s="5" t="str">
        <x:v>مالك البيانات / التحليلات</x:v>
      </x:c>
      <x:c r="F199" s="5" t="str">
        <x:v>P2</x:v>
      </x:c>
      <x:c r="G199" s="5" t="str">
        <x:v>التحليلات</x:v>
      </x:c>
      <x:c r="H199" s="5" t="str">
        <x:v>مقترح للاعتماد</x:v>
      </x:c>
      <x:c r="I199" s="5" t="str">
        <x:v>لا تقاس إنتاجية موظف بعدد النقرات أو الرسائل وحده.</x:v>
      </x:c>
      <x:c r="J199" s="5" t="str">
        <x:v>هوية موحدة + بيانات مرجعية + موافقات + مالك إجراء</x:v>
      </x:c>
      <x:c r="K199" s="5" t="str">
        <x:v>داخلي / حسب المشروع</x:v>
      </x:c>
      <x:c r="L199" s="5" t="str">
        <x:v>تقارير أسبوعية ومؤشرات؛ توحيد المصادر غير مثبت</x:v>
      </x:c>
      <x:c r="M199" s="5" t="str">
        <x:v>Executive Insights: reports.ts؛ HR: queries.ts</x:v>
      </x:c>
      <x:c r="N199" s="5" t="str">
        <x:v>https://lovable.dev/projects/33b3cb53-d107-4a33-86b4-f958b21171ad</x:v>
      </x:c>
    </x:row>
    <x:row r="200" ht="78" customHeight="1">
      <x:c r="A200" s="5" t="str">
        <x:v>DAT-06</x:v>
      </x:c>
      <x:c r="B200" s="5" t="str">
        <x:v>البيانات والتحليلات والذكاء الاصطناعي</x:v>
      </x:c>
      <x:c r="C200" s="5" t="str">
        <x:v>البحث المؤسسي</x:v>
      </x:c>
      <x:c r="D200" s="5" t="str">
        <x:v>بحث في السياسات والمشاريع والملفات يطبق حقوق الوصول قبل العرض.</x:v>
      </x:c>
      <x:c r="E200" s="5" t="str">
        <x:v>مالك البيانات / التحليلات</x:v>
      </x:c>
      <x:c r="F200" s="5" t="str">
        <x:v>P2</x:v>
      </x:c>
      <x:c r="G200" s="5" t="str">
        <x:v>التحليلات</x:v>
      </x:c>
      <x:c r="H200" s="5" t="str">
        <x:v>مقترح للاعتماد</x:v>
      </x:c>
      <x:c r="I200" s="5" t="str">
        <x:v>مستخدم لا يجد عنوان مستند لا يحق له الاطلاع عليه.</x:v>
      </x:c>
      <x:c r="J200" s="5" t="str">
        <x:v>هوية موحدة + بيانات مرجعية + موافقات + مالك إجراء</x:v>
      </x:c>
      <x:c r="K200" s="5" t="str">
        <x:v>داخلي / حسب المشروع</x:v>
      </x:c>
      <x:c r="L200" s="5" t="str">
        <x:v>تقارير أسبوعية ومؤشرات؛ توحيد المصادر غير مثبت</x:v>
      </x:c>
      <x:c r="M200" s="5" t="str">
        <x:v>Executive Insights: reports.ts؛ HR: queries.ts</x:v>
      </x:c>
      <x:c r="N200" s="5" t="str">
        <x:v>https://lovable.dev/projects/33b3cb53-d107-4a33-86b4-f958b21171ad</x:v>
      </x:c>
    </x:row>
    <x:row r="201" ht="78" customHeight="1">
      <x:c r="A201" s="5" t="str">
        <x:v>DAT-07</x:v>
      </x:c>
      <x:c r="B201" s="5" t="str">
        <x:v>البيانات والتحليلات والذكاء الاصطناعي</x:v>
      </x:c>
      <x:c r="C201" s="5" t="str">
        <x:v>مساعد المعرفة</x:v>
      </x:c>
      <x:c r="D201" s="5" t="str">
        <x:v>إجابات بمصادر ونسخ وتواريخ مع الامتناع عند نقص الدليل.</x:v>
      </x:c>
      <x:c r="E201" s="5" t="str">
        <x:v>مالك البيانات / التحليلات</x:v>
      </x:c>
      <x:c r="F201" s="5" t="str">
        <x:v>P2</x:v>
      </x:c>
      <x:c r="G201" s="5" t="str">
        <x:v>التحليلات</x:v>
      </x:c>
      <x:c r="H201" s="5" t="str">
        <x:v>مقترح للاعتماد</x:v>
      </x:c>
      <x:c r="I201" s="5" t="str">
        <x:v>لا يختلق سياسة ولا يستخدم وثيقة ملغاة كقاعدة حالية.</x:v>
      </x:c>
      <x:c r="J201" s="5" t="str">
        <x:v>هوية موحدة + بيانات مرجعية + موافقات + مالك إجراء</x:v>
      </x:c>
      <x:c r="K201" s="5" t="str">
        <x:v>داخلي / حسب المشروع</x:v>
      </x:c>
      <x:c r="L201" s="5" t="str">
        <x:v>تقارير أسبوعية ومؤشرات؛ توحيد المصادر غير مثبت</x:v>
      </x:c>
      <x:c r="M201" s="5" t="str">
        <x:v>Executive Insights: reports.ts؛ HR: queries.ts</x:v>
      </x:c>
      <x:c r="N201" s="5" t="str">
        <x:v>https://lovable.dev/projects/33b3cb53-d107-4a33-86b4-f958b21171ad</x:v>
      </x:c>
    </x:row>
    <x:row r="202" ht="78" customHeight="1">
      <x:c r="A202" s="5" t="str">
        <x:v>DAT-08</x:v>
      </x:c>
      <x:c r="B202" s="5" t="str">
        <x:v>البيانات والتحليلات والذكاء الاصطناعي</x:v>
      </x:c>
      <x:c r="C202" s="5" t="str">
        <x:v>مساعد المعاملات</x:v>
      </x:c>
      <x:c r="D202" s="5" t="str">
        <x:v>اقتراح مسودات بريد وملخصات ومهام مع روابط الأصل وتأكيد بشري.</x:v>
      </x:c>
      <x:c r="E202" s="5" t="str">
        <x:v>مالك البيانات / التحليلات</x:v>
      </x:c>
      <x:c r="F202" s="5" t="str">
        <x:v>P2</x:v>
      </x:c>
      <x:c r="G202" s="5" t="str">
        <x:v>التحليلات</x:v>
      </x:c>
      <x:c r="H202" s="5" t="str">
        <x:v>مقترح للاعتماد</x:v>
      </x:c>
      <x:c r="I202" s="5" t="str">
        <x:v>لا يرسل أو يدفع أو يرفض مرشحًا دون تفويض بشري مناسب.</x:v>
      </x:c>
      <x:c r="J202" s="5" t="str">
        <x:v>هوية موحدة + بيانات مرجعية + موافقات + مالك إجراء</x:v>
      </x:c>
      <x:c r="K202" s="5" t="str">
        <x:v>داخلي / حسب المشروع</x:v>
      </x:c>
      <x:c r="L202" s="5" t="str">
        <x:v>تقارير أسبوعية ومؤشرات؛ توحيد المصادر غير مثبت</x:v>
      </x:c>
      <x:c r="M202" s="5" t="str">
        <x:v>Executive Insights: reports.ts؛ HR: queries.ts</x:v>
      </x:c>
      <x:c r="N202" s="5" t="str">
        <x:v>https://lovable.dev/projects/33b3cb53-d107-4a33-86b4-f958b21171ad</x:v>
      </x:c>
    </x:row>
    <x:row r="203" ht="78" customHeight="1">
      <x:c r="A203" s="5" t="str">
        <x:v>DAT-09</x:v>
      </x:c>
      <x:c r="B203" s="5" t="str">
        <x:v>البيانات والتحليلات والذكاء الاصطناعي</x:v>
      </x:c>
      <x:c r="C203" s="5" t="str">
        <x:v>حوكمة AI</x:v>
      </x:c>
      <x:c r="D203" s="5" t="str">
        <x:v>تقييم جودة وتسريب وحقن تعليمات وتكلفة وتسجيل قرارات.</x:v>
      </x:c>
      <x:c r="E203" s="5" t="str">
        <x:v>مالك البيانات / التحليلات</x:v>
      </x:c>
      <x:c r="F203" s="5" t="str">
        <x:v>P2</x:v>
      </x:c>
      <x:c r="G203" s="5" t="str">
        <x:v>التحليلات</x:v>
      </x:c>
      <x:c r="H203" s="5" t="str">
        <x:v>مقترح للاعتماد</x:v>
      </x:c>
      <x:c r="I203" s="5" t="str">
        <x:v>تعليمات داخل ملف لا تغير صلاحيات المساعد أو تسمح بتصدير بيانات.</x:v>
      </x:c>
      <x:c r="J203" s="5" t="str">
        <x:v>هوية موحدة + بيانات مرجعية + موافقات + مالك إجراء</x:v>
      </x:c>
      <x:c r="K203" s="5" t="str">
        <x:v>داخلي / حسب المشروع</x:v>
      </x:c>
      <x:c r="L203" s="5" t="str">
        <x:v>تقارير أسبوعية ومؤشرات؛ توحيد المصادر غير مثبت</x:v>
      </x:c>
      <x:c r="M203" s="5" t="str">
        <x:v>Executive Insights: reports.ts؛ HR: queries.ts</x:v>
      </x:c>
      <x:c r="N203" s="5" t="str">
        <x:v>https://lovable.dev/projects/33b3cb53-d107-4a33-86b4-f958b21171ad</x:v>
      </x:c>
    </x:row>
    <x:row r="204" ht="78" customHeight="1">
      <x:c r="A204" s="5" t="str">
        <x:v>DAT-10</x:v>
      </x:c>
      <x:c r="B204" s="5" t="str">
        <x:v>البيانات والتحليلات والذكاء الاصطناعي</x:v>
      </x:c>
      <x:c r="C204" s="5" t="str">
        <x:v>قياس العائد</x:v>
      </x:c>
      <x:c r="D204" s="5" t="str">
        <x:v>خط أساس لزمن الإجراء وإعادة الإدخال والأخطاء ثم قياس بعد الإطلاق.</x:v>
      </x:c>
      <x:c r="E204" s="5" t="str">
        <x:v>مالك البيانات / التحليلات</x:v>
      </x:c>
      <x:c r="F204" s="5" t="str">
        <x:v>P2</x:v>
      </x:c>
      <x:c r="G204" s="5" t="str">
        <x:v>التحليلات</x:v>
      </x:c>
      <x:c r="H204" s="5" t="str">
        <x:v>مقترح للاعتماد</x:v>
      </x:c>
      <x:c r="I204" s="5" t="str">
        <x:v>كل وفورات معلنة لها قياس قبل وبعد لا تقدير تسويقي فقط.</x:v>
      </x:c>
      <x:c r="J204" s="5" t="str">
        <x:v>هوية موحدة + بيانات مرجعية + موافقات + مالك إجراء</x:v>
      </x:c>
      <x:c r="K204" s="5" t="str">
        <x:v>داخلي / حسب المشروع</x:v>
      </x:c>
      <x:c r="L204" s="5" t="str">
        <x:v>تقارير أسبوعية ومؤشرات؛ توحيد المصادر غير مثبت</x:v>
      </x:c>
      <x:c r="M204" s="5" t="str">
        <x:v>Executive Insights: reports.ts؛ HR: queries.ts</x:v>
      </x:c>
      <x:c r="N204" s="5" t="str">
        <x:v>https://lovable.dev/projects/33b3cb53-d107-4a33-86b4-f958b21171ad</x:v>
      </x:c>
    </x:row>
    <x:row r="205" ht="78" customHeight="1">
      <x:c r="A205" s="5" t="str">
        <x:v>PLT-01</x:v>
      </x:c>
      <x:c r="B205" s="5" t="str">
        <x:v>الأساس المشترك والتكامل</x:v>
      </x:c>
      <x:c r="C205" s="5" t="str">
        <x:v>الكيانات والهويات</x:v>
      </x:c>
      <x:c r="D205" s="5" t="str">
        <x:v>تحديد حدود الشركة والاتحاد وأي عميل مع معرف كيان ثابت.</x:v>
      </x:c>
      <x:c r="E205" s="5" t="str">
        <x:v>المعماري / مالك المنتج</x:v>
      </x:c>
      <x:c r="F205" s="5" t="str">
        <x:v>P1</x:v>
      </x:c>
      <x:c r="G205" s="5" t="str">
        <x:v>الأساس</x:v>
      </x:c>
      <x:c r="H205" s="5" t="str">
        <x:v>مقترح للاعتماد</x:v>
      </x:c>
      <x:c r="I205" s="5" t="str">
        <x:v>لا يكتسب مستخدم شركة حق الوصول لكيان آخر تلقائيًا.</x:v>
      </x:c>
      <x:c r="J205" s="5" t="str">
        <x:v>هوية موحدة + بيانات مرجعية + موافقات + مالك إجراء</x:v>
      </x:c>
      <x:c r="K205" s="5" t="str">
        <x:v>داخلي / حسب المشروع</x:v>
      </x:c>
      <x:c r="L205" s="5" t="str">
        <x:v>أساس متعدد الوحدات؛ يحتاج توحيدًا وتقوية</x:v>
      </x:c>
      <x:c r="M205" s="5" t="str">
        <x:v>بوابة 360 وHR وExecutive Insights؛ مراجعة تصميم مقترح</x:v>
      </x:c>
      <x:c r="N205" s="5" t="str">
        <x:v>https://lovable.dev/projects/33b3cb53-d107-4a33-86b4-f958b21171ad</x:v>
      </x:c>
    </x:row>
    <x:row r="206" ht="78" customHeight="1">
      <x:c r="A206" s="5" t="str">
        <x:v>PLT-02</x:v>
      </x:c>
      <x:c r="B206" s="5" t="str">
        <x:v>الأساس المشترك والتكامل</x:v>
      </x:c>
      <x:c r="C206" s="5" t="str">
        <x:v>البيانات المرجعية</x:v>
      </x:c>
      <x:c r="D206" s="5" t="str">
        <x:v>أكواد موحدة للموظف والعميل والمورد والمشروع والإدارة ومركز التكلفة.</x:v>
      </x:c>
      <x:c r="E206" s="5" t="str">
        <x:v>المعماري / مالك المنتج</x:v>
      </x:c>
      <x:c r="F206" s="5" t="str">
        <x:v>P1</x:v>
      </x:c>
      <x:c r="G206" s="5" t="str">
        <x:v>الأساس</x:v>
      </x:c>
      <x:c r="H206" s="5" t="str">
        <x:v>مقترح للاعتماد</x:v>
      </x:c>
      <x:c r="I206" s="5" t="str">
        <x:v>لا تستخدم الأسماء كمفاتيح ربط بين الأنظمة.</x:v>
      </x:c>
      <x:c r="J206" s="5" t="str">
        <x:v>هوية موحدة + بيانات مرجعية + موافقات + مالك إجراء</x:v>
      </x:c>
      <x:c r="K206" s="5" t="str">
        <x:v>داخلي / حسب المشروع</x:v>
      </x:c>
      <x:c r="L206" s="5" t="str">
        <x:v>أساس متعدد الوحدات؛ يحتاج توحيدًا وتقوية</x:v>
      </x:c>
      <x:c r="M206" s="5" t="str">
        <x:v>بوابة 360 وHR وExecutive Insights؛ مراجعة تصميم مقترح</x:v>
      </x:c>
      <x:c r="N206" s="5" t="str">
        <x:v>https://lovable.dev/projects/33b3cb53-d107-4a33-86b4-f958b21171ad</x:v>
      </x:c>
    </x:row>
    <x:row r="207" ht="78" customHeight="1">
      <x:c r="A207" s="5" t="str">
        <x:v>PLT-03</x:v>
      </x:c>
      <x:c r="B207" s="5" t="str">
        <x:v>الأساس المشترك والتكامل</x:v>
      </x:c>
      <x:c r="C207" s="5" t="str">
        <x:v>محرك الطلبات</x:v>
      </x:c>
      <x:c r="D207" s="5" t="str">
        <x:v>نوع طلب ونموذج وحقول ومرفقات ونسخة وسياسة توجيه.</x:v>
      </x:c>
      <x:c r="E207" s="5" t="str">
        <x:v>المعماري / مالك المنتج</x:v>
      </x:c>
      <x:c r="F207" s="5" t="str">
        <x:v>P1</x:v>
      </x:c>
      <x:c r="G207" s="5" t="str">
        <x:v>الأساس</x:v>
      </x:c>
      <x:c r="H207" s="5" t="str">
        <x:v>مقترح للاعتماد</x:v>
      </x:c>
      <x:c r="I207" s="5" t="str">
        <x:v>يمكن إنشاء خدمة جديدة بالتهيئة دون نسخ مشروع مستقل.</x:v>
      </x:c>
      <x:c r="J207" s="5" t="str">
        <x:v>هوية موحدة + بيانات مرجعية + موافقات + مالك إجراء</x:v>
      </x:c>
      <x:c r="K207" s="5" t="str">
        <x:v>داخلي / حسب المشروع</x:v>
      </x:c>
      <x:c r="L207" s="5" t="str">
        <x:v>أساس متعدد الوحدات؛ يحتاج توحيدًا وتقوية</x:v>
      </x:c>
      <x:c r="M207" s="5" t="str">
        <x:v>بوابة 360 وHR وExecutive Insights؛ مراجعة تصميم مقترح</x:v>
      </x:c>
      <x:c r="N207" s="5" t="str">
        <x:v>https://lovable.dev/projects/33b3cb53-d107-4a33-86b4-f958b21171ad</x:v>
      </x:c>
    </x:row>
    <x:row r="208" ht="78" customHeight="1">
      <x:c r="A208" s="5" t="str">
        <x:v>PLT-04</x:v>
      </x:c>
      <x:c r="B208" s="5" t="str">
        <x:v>الأساس المشترك والتكامل</x:v>
      </x:c>
      <x:c r="C208" s="5" t="str">
        <x:v>محرك الموافقات</x:v>
      </x:c>
      <x:c r="D208" s="5" t="str">
        <x:v>حالات انتقال واعتماد متسلسل ومتوازٍ وتفويض وتصعيد ومنع اعتماد ذاتي.</x:v>
      </x:c>
      <x:c r="E208" s="5" t="str">
        <x:v>المعماري / مالك المنتج</x:v>
      </x:c>
      <x:c r="F208" s="5" t="str">
        <x:v>P1</x:v>
      </x:c>
      <x:c r="G208" s="5" t="str">
        <x:v>الأساس</x:v>
      </x:c>
      <x:c r="H208" s="5" t="str">
        <x:v>مقترح للاعتماد</x:v>
      </x:c>
      <x:c r="I208" s="5" t="str">
        <x:v>لا يسمح API بقفز مرحلة أو تغيير المخول من الطلب نفسه.</x:v>
      </x:c>
      <x:c r="J208" s="5" t="str">
        <x:v>هوية موحدة + بيانات مرجعية + موافقات + مالك إجراء</x:v>
      </x:c>
      <x:c r="K208" s="5" t="str">
        <x:v>داخلي / حسب المشروع</x:v>
      </x:c>
      <x:c r="L208" s="5" t="str">
        <x:v>أساس متعدد الوحدات؛ يحتاج توحيدًا وتقوية</x:v>
      </x:c>
      <x:c r="M208" s="5" t="str">
        <x:v>بوابة 360 وHR وExecutive Insights؛ مراجعة تصميم مقترح</x:v>
      </x:c>
      <x:c r="N208" s="5" t="str">
        <x:v>https://lovable.dev/projects/33b3cb53-d107-4a33-86b4-f958b21171ad</x:v>
      </x:c>
    </x:row>
    <x:row r="209" ht="78" customHeight="1">
      <x:c r="A209" s="5" t="str">
        <x:v>PLT-05</x:v>
      </x:c>
      <x:c r="B209" s="5" t="str">
        <x:v>الأساس المشترك والتكامل</x:v>
      </x:c>
      <x:c r="C209" s="5" t="str">
        <x:v>نطاق الصلاحية</x:v>
      </x:c>
      <x:c r="D209" s="5" t="str">
        <x:v>دور مع كيان وإدارة وعضوية مشروع وحساسية حقل ومدة.</x:v>
      </x:c>
      <x:c r="E209" s="5" t="str">
        <x:v>المعماري / مالك المنتج</x:v>
      </x:c>
      <x:c r="F209" s="5" t="str">
        <x:v>P1</x:v>
      </x:c>
      <x:c r="G209" s="5" t="str">
        <x:v>الأساس</x:v>
      </x:c>
      <x:c r="H209" s="5" t="str">
        <x:v>مقترح للاعتماد</x:v>
      </x:c>
      <x:c r="I209" s="5" t="str">
        <x:v>اختبار الحالة غير المعروفة ينتهي بالرفض لا السماح.</x:v>
      </x:c>
      <x:c r="J209" s="5" t="str">
        <x:v>هوية موحدة + بيانات مرجعية + موافقات + مالك إجراء</x:v>
      </x:c>
      <x:c r="K209" s="5" t="str">
        <x:v>داخلي / حسب المشروع</x:v>
      </x:c>
      <x:c r="L209" s="5" t="str">
        <x:v>أساس متعدد الوحدات؛ يحتاج توحيدًا وتقوية</x:v>
      </x:c>
      <x:c r="M209" s="5" t="str">
        <x:v>بوابة 360 وHR وExecutive Insights؛ مراجعة تصميم مقترح</x:v>
      </x:c>
      <x:c r="N209" s="5" t="str">
        <x:v>https://lovable.dev/projects/33b3cb53-d107-4a33-86b4-f958b21171ad</x:v>
      </x:c>
    </x:row>
    <x:row r="210" ht="78" customHeight="1">
      <x:c r="A210" s="5" t="str">
        <x:v>PLT-06</x:v>
      </x:c>
      <x:c r="B210" s="5" t="str">
        <x:v>الأساس المشترك والتكامل</x:v>
      </x:c>
      <x:c r="C210" s="5" t="str">
        <x:v>سجل التدقيق</x:v>
      </x:c>
      <x:c r="D210" s="5" t="str">
        <x:v>من فعل ماذا ومتى وقبل وبعد ولماذا والمصدر ونسخة القاعدة.</x:v>
      </x:c>
      <x:c r="E210" s="5" t="str">
        <x:v>المعماري / مالك المنتج</x:v>
      </x:c>
      <x:c r="F210" s="5" t="str">
        <x:v>P1</x:v>
      </x:c>
      <x:c r="G210" s="5" t="str">
        <x:v>الأساس</x:v>
      </x:c>
      <x:c r="H210" s="5" t="str">
        <x:v>مقترح للاعتماد</x:v>
      </x:c>
      <x:c r="I210" s="5" t="str">
        <x:v>لا يمكن لمستخدم الأعمال محو أثر معاملته أو تعديله.</x:v>
      </x:c>
      <x:c r="J210" s="5" t="str">
        <x:v>هوية موحدة + بيانات مرجعية + موافقات + مالك إجراء</x:v>
      </x:c>
      <x:c r="K210" s="5" t="str">
        <x:v>داخلي / حسب المشروع</x:v>
      </x:c>
      <x:c r="L210" s="5" t="str">
        <x:v>أساس متعدد الوحدات؛ يحتاج توحيدًا وتقوية</x:v>
      </x:c>
      <x:c r="M210" s="5" t="str">
        <x:v>بوابة 360 وHR وExecutive Insights؛ مراجعة تصميم مقترح</x:v>
      </x:c>
      <x:c r="N210" s="5" t="str">
        <x:v>https://lovable.dev/projects/33b3cb53-d107-4a33-86b4-f958b21171ad</x:v>
      </x:c>
    </x:row>
    <x:row r="211" ht="78" customHeight="1">
      <x:c r="A211" s="5" t="str">
        <x:v>PLT-07</x:v>
      </x:c>
      <x:c r="B211" s="5" t="str">
        <x:v>الأساس المشترك والتكامل</x:v>
      </x:c>
      <x:c r="C211" s="5" t="str">
        <x:v>المرفقات والبحث</x:v>
      </x:c>
      <x:c r="D211" s="5" t="str">
        <x:v>تخزين آمن وروابط مؤقتة وإصدارات وفحص ملفات واحتفاظ.</x:v>
      </x:c>
      <x:c r="E211" s="5" t="str">
        <x:v>المعماري / مالك المنتج</x:v>
      </x:c>
      <x:c r="F211" s="5" t="str">
        <x:v>P1</x:v>
      </x:c>
      <x:c r="G211" s="5" t="str">
        <x:v>الأساس</x:v>
      </x:c>
      <x:c r="H211" s="5" t="str">
        <x:v>مقترح للاعتماد</x:v>
      </x:c>
      <x:c r="I211" s="5" t="str">
        <x:v>صلاحيات المرفق والبيانات الأصلية والتنزيل متطابقة.</x:v>
      </x:c>
      <x:c r="J211" s="5" t="str">
        <x:v>هوية موحدة + بيانات مرجعية + موافقات + مالك إجراء</x:v>
      </x:c>
      <x:c r="K211" s="5" t="str">
        <x:v>داخلي / حسب المشروع</x:v>
      </x:c>
      <x:c r="L211" s="5" t="str">
        <x:v>أساس متعدد الوحدات؛ يحتاج توحيدًا وتقوية</x:v>
      </x:c>
      <x:c r="M211" s="5" t="str">
        <x:v>بوابة 360 وHR وExecutive Insights؛ مراجعة تصميم مقترح</x:v>
      </x:c>
      <x:c r="N211" s="5" t="str">
        <x:v>https://lovable.dev/projects/33b3cb53-d107-4a33-86b4-f958b21171ad</x:v>
      </x:c>
    </x:row>
    <x:row r="212" ht="78" customHeight="1">
      <x:c r="A212" s="5" t="str">
        <x:v>PLT-08</x:v>
      </x:c>
      <x:c r="B212" s="5" t="str">
        <x:v>الأساس المشترك والتكامل</x:v>
      </x:c>
      <x:c r="C212" s="5" t="str">
        <x:v>عقود التكامل</x:v>
      </x:c>
      <x:c r="D212" s="5" t="str">
        <x:v>تحديد مصدر الحقيقة واتجاه الربط ونسخة العقد ومفاتيح خارجية.</x:v>
      </x:c>
      <x:c r="E212" s="5" t="str">
        <x:v>المعماري / مالك المنتج</x:v>
      </x:c>
      <x:c r="F212" s="5" t="str">
        <x:v>P1</x:v>
      </x:c>
      <x:c r="G212" s="5" t="str">
        <x:v>الأساس</x:v>
      </x:c>
      <x:c r="H212" s="5" t="str">
        <x:v>مقترح للاعتماد</x:v>
      </x:c>
      <x:c r="I212" s="5" t="str">
        <x:v>تغيير حقل مملوك لنظام آخر لا يكتب فوقه دون مسار مصرح.</x:v>
      </x:c>
      <x:c r="J212" s="5" t="str">
        <x:v>هوية موحدة + بيانات مرجعية + موافقات + مالك إجراء</x:v>
      </x:c>
      <x:c r="K212" s="5" t="str">
        <x:v>داخلي / حسب المشروع</x:v>
      </x:c>
      <x:c r="L212" s="5" t="str">
        <x:v>أساس متعدد الوحدات؛ يحتاج توحيدًا وتقوية</x:v>
      </x:c>
      <x:c r="M212" s="5" t="str">
        <x:v>بوابة 360 وHR وExecutive Insights؛ مراجعة تصميم مقترح</x:v>
      </x:c>
      <x:c r="N212" s="5" t="str">
        <x:v>https://lovable.dev/projects/33b3cb53-d107-4a33-86b4-f958b21171ad</x:v>
      </x:c>
    </x:row>
    <x:row r="213" ht="78" customHeight="1">
      <x:c r="A213" s="5" t="str">
        <x:v>PLT-09</x:v>
      </x:c>
      <x:c r="B213" s="5" t="str">
        <x:v>الأساس المشترك والتكامل</x:v>
      </x:c>
      <x:c r="C213" s="5" t="str">
        <x:v>اعتمادية المزامنة</x:v>
      </x:c>
      <x:c r="D213" s="5" t="str">
        <x:v>طابور وإعادة محاولة ومنع تكرار وترتيب وتوفيق ومراقبة فشل.</x:v>
      </x:c>
      <x:c r="E213" s="5" t="str">
        <x:v>المعماري / مالك المنتج</x:v>
      </x:c>
      <x:c r="F213" s="5" t="str">
        <x:v>P1</x:v>
      </x:c>
      <x:c r="G213" s="5" t="str">
        <x:v>الأساس</x:v>
      </x:c>
      <x:c r="H213" s="5" t="str">
        <x:v>مقترح للاعتماد</x:v>
      </x:c>
      <x:c r="I213" s="5" t="str">
        <x:v>إرسال الحدث مرتين لا ينشئ موظفًا أو فاتورة مرتين.</x:v>
      </x:c>
      <x:c r="J213" s="5" t="str">
        <x:v>هوية موحدة + بيانات مرجعية + موافقات + مالك إجراء</x:v>
      </x:c>
      <x:c r="K213" s="5" t="str">
        <x:v>داخلي / حسب المشروع</x:v>
      </x:c>
      <x:c r="L213" s="5" t="str">
        <x:v>أساس متعدد الوحدات؛ يحتاج توحيدًا وتقوية</x:v>
      </x:c>
      <x:c r="M213" s="5" t="str">
        <x:v>بوابة 360 وHR وExecutive Insights؛ مراجعة تصميم مقترح</x:v>
      </x:c>
      <x:c r="N213" s="5" t="str">
        <x:v>https://lovable.dev/projects/33b3cb53-d107-4a33-86b4-f958b21171ad</x:v>
      </x:c>
    </x:row>
    <x:row r="214" ht="78" customHeight="1">
      <x:c r="A214" s="5" t="str">
        <x:v>PLT-10</x:v>
      </x:c>
      <x:c r="B214" s="5" t="str">
        <x:v>الأساس المشترك والتكامل</x:v>
      </x:c>
      <x:c r="C214" s="5" t="str">
        <x:v>مركز الإشعارات</x:v>
      </x:c>
      <x:c r="D214" s="5" t="str">
        <x:v>إشعارات حسب الدور والأولوية والقناة وتفضيلات غير حساسة.</x:v>
      </x:c>
      <x:c r="E214" s="5" t="str">
        <x:v>المعماري / مالك المنتج</x:v>
      </x:c>
      <x:c r="F214" s="5" t="str">
        <x:v>P1</x:v>
      </x:c>
      <x:c r="G214" s="5" t="str">
        <x:v>الأساس</x:v>
      </x:c>
      <x:c r="H214" s="5" t="str">
        <x:v>مقترح للاعتماد</x:v>
      </x:c>
      <x:c r="I214" s="5" t="str">
        <x:v>تحتوي الرسالة على رابط آمن لا راتب أو نص شكوى.</x:v>
      </x:c>
      <x:c r="J214" s="5" t="str">
        <x:v>هوية موحدة + بيانات مرجعية + موافقات + مالك إجراء</x:v>
      </x:c>
      <x:c r="K214" s="5" t="str">
        <x:v>داخلي / حسب المشروع</x:v>
      </x:c>
      <x:c r="L214" s="5" t="str">
        <x:v>أساس متعدد الوحدات؛ يحتاج توحيدًا وتقوية</x:v>
      </x:c>
      <x:c r="M214" s="5" t="str">
        <x:v>بوابة 360 وHR وExecutive Insights؛ مراجعة تصميم مقترح</x:v>
      </x:c>
      <x:c r="N214" s="5" t="str">
        <x:v>https://lovable.dev/projects/33b3cb53-d107-4a33-86b4-f958b21171ad</x:v>
      </x:c>
    </x:row>
    <x:row r="215" ht="78" customHeight="1">
      <x:c r="A215" s="5" t="str">
        <x:v>NFR-01</x:v>
      </x:c>
      <x:c r="B215" s="5" t="str">
        <x:v>الجودة والاستدامة والتشغيل</x:v>
      </x:c>
      <x:c r="C215" s="5" t="str">
        <x:v>اختبارات المعاملات</x:v>
      </x:c>
      <x:c r="D215" s="5" t="str">
        <x:v>اختبارات وحدات وقاعدة بيانات ومعاملات كاملة وحالات سالبة.</x:v>
      </x:c>
      <x:c r="E215" s="5" t="str">
        <x:v>ضمان الجودة / التقنية / ملاك الأعمال</x:v>
      </x:c>
      <x:c r="F215" s="5" t="str">
        <x:v>P1</x:v>
      </x:c>
      <x:c r="G215" s="5" t="str">
        <x:v>الأساس</x:v>
      </x:c>
      <x:c r="H215" s="5" t="str">
        <x:v>مقترح للاعتماد</x:v>
      </x:c>
      <x:c r="I215" s="5" t="str">
        <x:v>اجتياز الاختبارات الحرجة شرط دمج ونشر موثق.</x:v>
      </x:c>
      <x:c r="J215" s="5" t="str">
        <x:v>هوية موحدة + بيانات مرجعية + موافقات + مالك إجراء</x:v>
      </x:c>
      <x:c r="K215" s="5" t="str">
        <x:v>داخلي / حسب المشروع</x:v>
      </x:c>
      <x:c r="L215" s="5" t="str">
        <x:v>غير مثبت باختبارات تشغيل في هذه المراجعة</x:v>
      </x:c>
      <x:c r="M215" s="5" t="str">
        <x:v>تصميم مقترح؛ package.json؛ المصادر التقنية الرسمية</x:v>
      </x:c>
      <x:c r="N215" s="5" t="str">
        <x:v>https://lovable.dev/projects/33b3cb53-d107-4a33-86b4-f958b21171ad</x:v>
      </x:c>
    </x:row>
    <x:row r="216" ht="78" customHeight="1">
      <x:c r="A216" s="5" t="str">
        <x:v>NFR-02</x:v>
      </x:c>
      <x:c r="B216" s="5" t="str">
        <x:v>الجودة والاستدامة والتشغيل</x:v>
      </x:c>
      <x:c r="C216" s="5" t="str">
        <x:v>اختبار الصلاحيات</x:v>
      </x:c>
      <x:c r="D216" s="5" t="str">
        <x:v>حسابات اختبار لكل دور وحالة موظف وعميل ومورد وكيان.</x:v>
      </x:c>
      <x:c r="E216" s="5" t="str">
        <x:v>ضمان الجودة / التقنية / ملاك الأعمال</x:v>
      </x:c>
      <x:c r="F216" s="5" t="str">
        <x:v>P1</x:v>
      </x:c>
      <x:c r="G216" s="5" t="str">
        <x:v>الأساس</x:v>
      </x:c>
      <x:c r="H216" s="5" t="str">
        <x:v>مقترح للاعتماد</x:v>
      </x:c>
      <x:c r="I216" s="5" t="str">
        <x:v>لا يظهر تسرب عبر API أو ملف أو تقرير أو بحث.</x:v>
      </x:c>
      <x:c r="J216" s="5" t="str">
        <x:v>هوية موحدة + بيانات مرجعية + موافقات + مالك إجراء</x:v>
      </x:c>
      <x:c r="K216" s="5" t="str">
        <x:v>داخلي / حسب المشروع</x:v>
      </x:c>
      <x:c r="L216" s="5" t="str">
        <x:v>غير مثبت باختبارات تشغيل في هذه المراجعة</x:v>
      </x:c>
      <x:c r="M216" s="5" t="str">
        <x:v>تصميم مقترح؛ package.json؛ المصادر التقنية الرسمية</x:v>
      </x:c>
      <x:c r="N216" s="5" t="str">
        <x:v>https://lovable.dev/projects/33b3cb53-d107-4a33-86b4-f958b21171ad</x:v>
      </x:c>
    </x:row>
    <x:row r="217" ht="78" customHeight="1">
      <x:c r="A217" s="5" t="str">
        <x:v>NFR-03</x:v>
      </x:c>
      <x:c r="B217" s="5" t="str">
        <x:v>الجودة والاستدامة والتشغيل</x:v>
      </x:c>
      <x:c r="C217" s="5" t="str">
        <x:v>الأداء</x:v>
      </x:c>
      <x:c r="D217" s="5" t="str">
        <x:v>تحديد حمل عمل فعلي وأهداف استجابة واختبار ذروة الفعالية والرواتب.</x:v>
      </x:c>
      <x:c r="E217" s="5" t="str">
        <x:v>ضمان الجودة / التقنية / ملاك الأعمال</x:v>
      </x:c>
      <x:c r="F217" s="5" t="str">
        <x:v>P1</x:v>
      </x:c>
      <x:c r="G217" s="5" t="str">
        <x:v>الأساس</x:v>
      </x:c>
      <x:c r="H217" s="5" t="str">
        <x:v>مقترح للاعتماد</x:v>
      </x:c>
      <x:c r="I217" s="5" t="str">
        <x:v>تعتمد الأهداف بعد قياس عدد المستخدمين والملفات لا افتراض تسويقي.</x:v>
      </x:c>
      <x:c r="J217" s="5" t="str">
        <x:v>هوية موحدة + بيانات مرجعية + موافقات + مالك إجراء</x:v>
      </x:c>
      <x:c r="K217" s="5" t="str">
        <x:v>داخلي / حسب المشروع</x:v>
      </x:c>
      <x:c r="L217" s="5" t="str">
        <x:v>غير مثبت باختبارات تشغيل في هذه المراجعة</x:v>
      </x:c>
      <x:c r="M217" s="5" t="str">
        <x:v>تصميم مقترح؛ package.json؛ المصادر التقنية الرسمية</x:v>
      </x:c>
      <x:c r="N217" s="5" t="str">
        <x:v>https://lovable.dev/projects/33b3cb53-d107-4a33-86b4-f958b21171ad</x:v>
      </x:c>
    </x:row>
    <x:row r="218" ht="78" customHeight="1">
      <x:c r="A218" s="5" t="str">
        <x:v>NFR-04</x:v>
      </x:c>
      <x:c r="B218" s="5" t="str">
        <x:v>الجودة والاستدامة والتشغيل</x:v>
      </x:c>
      <x:c r="C218" s="5" t="str">
        <x:v>التوفر والتعافي</x:v>
      </x:c>
      <x:c r="D218" s="5" t="str">
        <x:v>اعتماد RTO وRPO حسب حرجة الخدمة والتكلفة واختبار استعادة.</x:v>
      </x:c>
      <x:c r="E218" s="5" t="str">
        <x:v>ضمان الجودة / التقنية / ملاك الأعمال</x:v>
      </x:c>
      <x:c r="F218" s="5" t="str">
        <x:v>P1</x:v>
      </x:c>
      <x:c r="G218" s="5" t="str">
        <x:v>الأساس</x:v>
      </x:c>
      <x:c r="H218" s="5" t="str">
        <x:v>مقترح للاعتماد</x:v>
      </x:c>
      <x:c r="I218" s="5" t="str">
        <x:v>توثيق تحقق الأهداف من تجربة وليس إعداد نسخة احتياطية فقط.</x:v>
      </x:c>
      <x:c r="J218" s="5" t="str">
        <x:v>هوية موحدة + بيانات مرجعية + موافقات + مالك إجراء</x:v>
      </x:c>
      <x:c r="K218" s="5" t="str">
        <x:v>داخلي / حسب المشروع</x:v>
      </x:c>
      <x:c r="L218" s="5" t="str">
        <x:v>غير مثبت باختبارات تشغيل في هذه المراجعة</x:v>
      </x:c>
      <x:c r="M218" s="5" t="str">
        <x:v>تصميم مقترح؛ package.json؛ المصادر التقنية الرسمية</x:v>
      </x:c>
      <x:c r="N218" s="5" t="str">
        <x:v>https://lovable.dev/projects/33b3cb53-d107-4a33-86b4-f958b21171ad</x:v>
      </x:c>
    </x:row>
    <x:row r="219" ht="78" customHeight="1">
      <x:c r="A219" s="5" t="str">
        <x:v>NFR-05</x:v>
      </x:c>
      <x:c r="B219" s="5" t="str">
        <x:v>الجودة والاستدامة والتشغيل</x:v>
      </x:c>
      <x:c r="C219" s="5" t="str">
        <x:v>التوطين والإتاحة</x:v>
      </x:c>
      <x:c r="D219" s="5" t="str">
        <x:v>عربية RTL وإنجليزية ولوحة مفاتيح وتباين وحركة مخفضة وجوال.</x:v>
      </x:c>
      <x:c r="E219" s="5" t="str">
        <x:v>ضمان الجودة / التقنية / ملاك الأعمال</x:v>
      </x:c>
      <x:c r="F219" s="5" t="str">
        <x:v>P1</x:v>
      </x:c>
      <x:c r="G219" s="5" t="str">
        <x:v>الأساس</x:v>
      </x:c>
      <x:c r="H219" s="5" t="str">
        <x:v>مقترح للاعتماد</x:v>
      </x:c>
      <x:c r="I219" s="5" t="str">
        <x:v>إكمال طلب وموافقة دون فأرة ودون مؤثرات ثلاثية الأبعاد.</x:v>
      </x:c>
      <x:c r="J219" s="5" t="str">
        <x:v>هوية موحدة + بيانات مرجعية + موافقات + مالك إجراء</x:v>
      </x:c>
      <x:c r="K219" s="5" t="str">
        <x:v>داخلي / حسب المشروع</x:v>
      </x:c>
      <x:c r="L219" s="5" t="str">
        <x:v>غير مثبت باختبارات تشغيل في هذه المراجعة</x:v>
      </x:c>
      <x:c r="M219" s="5" t="str">
        <x:v>تصميم مقترح؛ package.json؛ المصادر التقنية الرسمية</x:v>
      </x:c>
      <x:c r="N219" s="5" t="str">
        <x:v>https://lovable.dev/projects/33b3cb53-d107-4a33-86b4-f958b21171ad</x:v>
      </x:c>
    </x:row>
    <x:row r="220" ht="78" customHeight="1">
      <x:c r="A220" s="5" t="str">
        <x:v>NFR-06</x:v>
      </x:c>
      <x:c r="B220" s="5" t="str">
        <x:v>الجودة والاستدامة والتشغيل</x:v>
      </x:c>
      <x:c r="C220" s="5" t="str">
        <x:v>قابلية الصيانة</x:v>
      </x:c>
      <x:c r="D220" s="5" t="str">
        <x:v>توثيق وحدات وقواعد ومخطط وترحيلات واعتماديات وإصدارات.</x:v>
      </x:c>
      <x:c r="E220" s="5" t="str">
        <x:v>ضمان الجودة / التقنية / ملاك الأعمال</x:v>
      </x:c>
      <x:c r="F220" s="5" t="str">
        <x:v>P1</x:v>
      </x:c>
      <x:c r="G220" s="5" t="str">
        <x:v>الأساس</x:v>
      </x:c>
      <x:c r="H220" s="5" t="str">
        <x:v>مقترح للاعتماد</x:v>
      </x:c>
      <x:c r="I220" s="5" t="str">
        <x:v>يستطيع مطور بديل بناء نسخة من المستودع دون معرفة شفوية.</x:v>
      </x:c>
      <x:c r="J220" s="5" t="str">
        <x:v>هوية موحدة + بيانات مرجعية + موافقات + مالك إجراء</x:v>
      </x:c>
      <x:c r="K220" s="5" t="str">
        <x:v>داخلي / حسب المشروع</x:v>
      </x:c>
      <x:c r="L220" s="5" t="str">
        <x:v>غير مثبت باختبارات تشغيل في هذه المراجعة</x:v>
      </x:c>
      <x:c r="M220" s="5" t="str">
        <x:v>تصميم مقترح؛ package.json؛ المصادر التقنية الرسمية</x:v>
      </x:c>
      <x:c r="N220" s="5" t="str">
        <x:v>https://lovable.dev/projects/33b3cb53-d107-4a33-86b4-f958b21171ad</x:v>
      </x:c>
    </x:row>
    <x:row r="221" ht="78" customHeight="1">
      <x:c r="A221" s="5" t="str">
        <x:v>NFR-07</x:v>
      </x:c>
      <x:c r="B221" s="5" t="str">
        <x:v>الجودة والاستدامة والتشغيل</x:v>
      </x:c>
      <x:c r="C221" s="5" t="str">
        <x:v>البيئات</x:v>
      </x:c>
      <x:c r="D221" s="5" t="str">
        <x:v>فصل تطوير واختبار وإنتاج ومفاتيح ومستخدمين وبيانات.</x:v>
      </x:c>
      <x:c r="E221" s="5" t="str">
        <x:v>ضمان الجودة / التقنية / ملاك الأعمال</x:v>
      </x:c>
      <x:c r="F221" s="5" t="str">
        <x:v>P1</x:v>
      </x:c>
      <x:c r="G221" s="5" t="str">
        <x:v>الأساس</x:v>
      </x:c>
      <x:c r="H221" s="5" t="str">
        <x:v>مقترح للاعتماد</x:v>
      </x:c>
      <x:c r="I221" s="5" t="str">
        <x:v>لا تنسخ رواتب أو بلاغات حقيقية لعرض تجريبي.</x:v>
      </x:c>
      <x:c r="J221" s="5" t="str">
        <x:v>هوية موحدة + بيانات مرجعية + موافقات + مالك إجراء</x:v>
      </x:c>
      <x:c r="K221" s="5" t="str">
        <x:v>داخلي / حسب المشروع</x:v>
      </x:c>
      <x:c r="L221" s="5" t="str">
        <x:v>غير مثبت باختبارات تشغيل في هذه المراجعة</x:v>
      </x:c>
      <x:c r="M221" s="5" t="str">
        <x:v>تصميم مقترح؛ package.json؛ المصادر التقنية الرسمية</x:v>
      </x:c>
      <x:c r="N221" s="5" t="str">
        <x:v>https://lovable.dev/projects/33b3cb53-d107-4a33-86b4-f958b21171ad</x:v>
      </x:c>
    </x:row>
    <x:row r="222" ht="78" customHeight="1">
      <x:c r="A222" s="5" t="str">
        <x:v>NFR-08</x:v>
      </x:c>
      <x:c r="B222" s="5" t="str">
        <x:v>الجودة والاستدامة والتشغيل</x:v>
      </x:c>
      <x:c r="C222" s="5" t="str">
        <x:v>الترحيل</x:v>
      </x:c>
      <x:c r="D222" s="5" t="str">
        <x:v>جرد وتنظيف وتحميل تجريبي وتسوية وأرشيف وخطة رجوع.</x:v>
      </x:c>
      <x:c r="E222" s="5" t="str">
        <x:v>ضمان الجودة / التقنية / ملاك الأعمال</x:v>
      </x:c>
      <x:c r="F222" s="5" t="str">
        <x:v>P1</x:v>
      </x:c>
      <x:c r="G222" s="5" t="str">
        <x:v>الأساس</x:v>
      </x:c>
      <x:c r="H222" s="5" t="str">
        <x:v>مقترح للاعتماد</x:v>
      </x:c>
      <x:c r="I222" s="5" t="str">
        <x:v>لا يبدأ القطع قبل مطابقة العينات والأعداد والمبالغ المعتمدة.</x:v>
      </x:c>
      <x:c r="J222" s="5" t="str">
        <x:v>هوية موحدة + بيانات مرجعية + موافقات + مالك إجراء</x:v>
      </x:c>
      <x:c r="K222" s="5" t="str">
        <x:v>داخلي / حسب المشروع</x:v>
      </x:c>
      <x:c r="L222" s="5" t="str">
        <x:v>غير مثبت باختبارات تشغيل في هذه المراجعة</x:v>
      </x:c>
      <x:c r="M222" s="5" t="str">
        <x:v>تصميم مقترح؛ package.json؛ المصادر التقنية الرسمية</x:v>
      </x:c>
      <x:c r="N222" s="5" t="str">
        <x:v>https://lovable.dev/projects/33b3cb53-d107-4a33-86b4-f958b21171ad</x:v>
      </x:c>
    </x:row>
    <x:row r="223" ht="78" customHeight="1">
      <x:c r="A223" s="5" t="str">
        <x:v>NFR-09</x:v>
      </x:c>
      <x:c r="B223" s="5" t="str">
        <x:v>الجودة والاستدامة والتشغيل</x:v>
      </x:c>
      <x:c r="C223" s="5" t="str">
        <x:v>التبني والدعم</x:v>
      </x:c>
      <x:c r="D223" s="5" t="str">
        <x:v>تدريب حسب الدور ودليل خدمات وقناة دعم وأبطال إدارات.</x:v>
      </x:c>
      <x:c r="E223" s="5" t="str">
        <x:v>ضمان الجودة / التقنية / ملاك الأعمال</x:v>
      </x:c>
      <x:c r="F223" s="5" t="str">
        <x:v>P1</x:v>
      </x:c>
      <x:c r="G223" s="5" t="str">
        <x:v>الأساس</x:v>
      </x:c>
      <x:c r="H223" s="5" t="str">
        <x:v>مقترح للاعتماد</x:v>
      </x:c>
      <x:c r="I223" s="5" t="str">
        <x:v>المستخدم ينجز سيناريوهاته الأساسية في اختبار قبول الأعمال.</x:v>
      </x:c>
      <x:c r="J223" s="5" t="str">
        <x:v>هوية موحدة + بيانات مرجعية + موافقات + مالك إجراء</x:v>
      </x:c>
      <x:c r="K223" s="5" t="str">
        <x:v>داخلي / حسب المشروع</x:v>
      </x:c>
      <x:c r="L223" s="5" t="str">
        <x:v>غير مثبت باختبارات تشغيل في هذه المراجعة</x:v>
      </x:c>
      <x:c r="M223" s="5" t="str">
        <x:v>تصميم مقترح؛ package.json؛ المصادر التقنية الرسمية</x:v>
      </x:c>
      <x:c r="N223" s="5" t="str">
        <x:v>https://lovable.dev/projects/33b3cb53-d107-4a33-86b4-f958b21171ad</x:v>
      </x:c>
    </x:row>
    <x:row r="224" ht="78" customHeight="1">
      <x:c r="A224" s="5" t="str">
        <x:v>NFR-10</x:v>
      </x:c>
      <x:c r="B224" s="5" t="str">
        <x:v>الجودة والاستدامة والتشغيل</x:v>
      </x:c>
      <x:c r="C224" s="5" t="str">
        <x:v>الخروج والملكية</x:v>
      </x:c>
      <x:c r="D224" s="5" t="str">
        <x:v>تصدير كود وبيانات وملفات وعقود وتهيئة مع حق استخدام واضح.</x:v>
      </x:c>
      <x:c r="E224" s="5" t="str">
        <x:v>ضمان الجودة / التقنية / ملاك الأعمال</x:v>
      </x:c>
      <x:c r="F224" s="5" t="str">
        <x:v>P1</x:v>
      </x:c>
      <x:c r="G224" s="5" t="str">
        <x:v>الأساس</x:v>
      </x:c>
      <x:c r="H224" s="5" t="str">
        <x:v>مقترح للاعتماد</x:v>
      </x:c>
      <x:c r="I224" s="5" t="str">
        <x:v>اختبار نقل نسخة لمحيط آخر دون فقد سجل أو حقوق أو مرفقات.</x:v>
      </x:c>
      <x:c r="J224" s="5" t="str">
        <x:v>هوية موحدة + بيانات مرجعية + موافقات + مالك إجراء</x:v>
      </x:c>
      <x:c r="K224" s="5" t="str">
        <x:v>داخلي / حسب المشروع</x:v>
      </x:c>
      <x:c r="L224" s="5" t="str">
        <x:v>غير مثبت باختبارات تشغيل في هذه المراجعة</x:v>
      </x:c>
      <x:c r="M224" s="5" t="str">
        <x:v>تصميم مقترح؛ package.json؛ المصادر التقنية الرسمية</x:v>
      </x:c>
      <x:c r="N224" s="5" t="str">
        <x:v>https://lovable.dev/projects/33b3cb53-d107-4a33-86b4-f958b21171ad</x:v>
      </x:c>
    </x:row>
  </x:sheetData>
  <x:mergeCells>
    <x:mergeCell ref="A1:N1"/>
    <x:mergeCell ref="A2:N2"/>
  </x:mergeCells>
  <x:conditionalFormatting sqref="F5:F224">
    <x:cfRule type="expression" dxfId="0" priority="1">
      <x:formula>F5="P0"</x:formula>
    </x:cfRule>
    <x:cfRule type="expression" dxfId="1" priority="2">
      <x:formula>F5="P1"</x:formula>
    </x:cfRule>
    <x:cfRule type="expression" dxfId="2" priority="3">
      <x:formula>F5="P2"</x:formula>
    </x:cfRule>
  </x:conditionalFormatting>
  <x:conditionalFormatting sqref="H5:H224">
    <x:cfRule type="expression" dxfId="3" priority="4">
      <x:formula>H5="مقبول"</x:formula>
    </x:cfRule>
  </x:conditionalFormatting>
  <x:dataValidations count="2">
    <x:dataValidation type="list" sqref="F5:F224">
      <x:formula1>"P0,P1,P2,P3"</x:formula1>
    </x:dataValidation>
    <x:dataValidation type="list" sqref="H5:H224">
      <x:formula1>"مقترح للاعتماد,معتمد للنطاق,قيد التصميم,قيد البناء,قيد الاختبار,مقبول,مؤجل,خارج النطاق"</x:formula1>
    </x:dataValidation>
  </x:dataValidations>
  <x:pageMargins left="0.7" right="0.7" top="0.75" bottom="0.75" header="0.3" footer="0.3"/>
  <x:tableParts count="1">
    <x:tablePart xmlns:r="http://schemas.openxmlformats.org/officeDocument/2006/relationships" r:id="R0a10b11182e34854"/>
  </x:tableParts>
</x:worksheet>
</file>

<file path=xl/worksheets/sheet3.xml><?xml version="1.0" encoding="utf-8"?>
<x:worksheet xmlns:x="http://schemas.openxmlformats.org/spreadsheetml/2006/main">
  <x:sheetFormatPr defaultRowHeight="15"/>
  <x:cols>
    <x:col min="1" max="1" width="12" hidden="0" customWidth="1"/>
    <x:col min="2" max="2" width="33" hidden="0" customWidth="1"/>
    <x:col min="3" max="3" width="38" hidden="0" customWidth="1"/>
    <x:col min="4" max="4" width="22" hidden="0" customWidth="1"/>
    <x:col min="5" max="5" width="12" hidden="0" customWidth="1"/>
    <x:col min="6" max="6" width="34" hidden="0" customWidth="1"/>
    <x:col min="7" max="7" width="38" hidden="0" customWidth="1"/>
    <x:col min="8" max="8" width="39" hidden="0" customWidth="1"/>
    <x:col min="9" max="9" width="40" hidden="0" customWidth="1"/>
  </x:cols>
  <x:sheetData>
    <x:row r="1" ht="39" customHeight="1">
      <x:c r="A1" s="11" t="str">
        <x:v>جرد مشاريع Lovable | الحالة وقت المراجعة</x:v>
      </x:c>
      <x:c r="B1" s="11"/>
      <x:c r="C1" s="11"/>
      <x:c r="D1" s="11"/>
      <x:c r="E1" s="11"/>
      <x:c r="F1" s="11"/>
      <x:c r="G1" s="11"/>
      <x:c r="H1" s="11"/>
      <x:c r="I1" s="11"/>
    </x:row>
    <x:row r="2" ht="34" customHeight="1">
      <x:c r="A2" s="14" t="str">
        <x:v>23 مشروعًا في 3 مساحات عمل؛ 18 منشورًا و5 غير منشورة. النشر لا يثبت انكشاف البيانات أو صلاحية التشغيل. قرارات الدمج مقترحة.</x:v>
      </x:c>
      <x:c r="B2" s="14"/>
      <x:c r="C2" s="14"/>
      <x:c r="D2" s="14"/>
      <x:c r="E2" s="14"/>
      <x:c r="F2" s="14"/>
      <x:c r="G2" s="14"/>
      <x:c r="H2" s="14"/>
      <x:c r="I2" s="14"/>
    </x:row>
    <x:row r="3" ht="9" customHeight="1">
      <x:c r="A3" s="5"/>
      <x:c r="B3" s="5"/>
      <x:c r="C3" s="5"/>
      <x:c r="D3" s="5"/>
      <x:c r="E3" s="5"/>
      <x:c r="F3" s="5"/>
      <x:c r="G3" s="5"/>
      <x:c r="H3" s="5"/>
      <x:c r="I3" s="5"/>
    </x:row>
    <x:row r="4" ht="32" customHeight="1">
      <x:c r="A4" s="17" t="str">
        <x:v>الرمز</x:v>
      </x:c>
      <x:c r="B4" s="17" t="str">
        <x:v>اسم المشروع</x:v>
      </x:c>
      <x:c r="C4" s="17" t="str">
        <x:v>الغرض بحسب الوصف</x:v>
      </x:c>
      <x:c r="D4" s="17" t="str">
        <x:v>المساحة</x:v>
      </x:c>
      <x:c r="E4" s="17" t="str">
        <x:v>منشور</x:v>
      </x:c>
      <x:c r="F4" s="17" t="str">
        <x:v>قرار إعادة الاستخدام</x:v>
      </x:c>
      <x:c r="G4" s="17" t="str">
        <x:v>مستوى الفحص</x:v>
      </x:c>
      <x:c r="H4" s="17" t="str">
        <x:v>معرف المشروع</x:v>
      </x:c>
      <x:c r="I4" s="17" t="str">
        <x:v>رابط العرض</x:v>
      </x:c>
    </x:row>
    <x:row r="5" ht="62" customHeight="1">
      <x:c r="A5" s="5" t="str">
        <x:v>APP-01</x:v>
      </x:c>
      <x:c r="B5" s="5" t="str">
        <x:v>Farewell Card Creator</x:v>
      </x:c>
      <x:c r="C5" s="5" t="str">
        <x:v>بطاقات توديع ورسائل الزملاء</x:v>
      </x:c>
      <x:c r="D5" s="5" t="str">
        <x:v>Turki</x:v>
      </x:c>
      <x:c r="E5" s="5" t="str">
        <x:v>نعم</x:v>
      </x:c>
      <x:c r="F5" s="5" t="str">
        <x:v>دمج في تجربة الموظف</x:v>
      </x:c>
      <x:c r="G5" s="5" t="str">
        <x:v>بيانات وصفية؛ الوظائف غير مختبرة</x:v>
      </x:c>
      <x:c r="H5" s="5" t="str">
        <x:v>d47dbd41-ff16-4733-8bbb-200be8854c13</x:v>
      </x:c>
      <x:c r="I5" s="5" t="str">
        <x:v>https://safcspfarewell.lovable.app</x:v>
      </x:c>
    </x:row>
    <x:row r="6" ht="62" customHeight="1">
      <x:c r="A6" s="5" t="str">
        <x:v>APP-02</x:v>
      </x:c>
      <x:c r="B6" s="5" t="str">
        <x:v>HR</x:v>
      </x:c>
      <x:c r="C6" s="5" t="str">
        <x:v>منصة رأس المال البشري وتجربة ثلاثية الأبعاد</x:v>
      </x:c>
      <x:c r="D6" s="5" t="str">
        <x:v>Turki</x:v>
      </x:c>
      <x:c r="E6" s="5" t="str">
        <x:v>نعم</x:v>
      </x:c>
      <x:c r="F6" s="5" t="str">
        <x:v>إعادة استخدام التجربة وتوحيد سجل الموظف</x:v>
      </x:c>
      <x:c r="G6" s="5" t="str">
        <x:v>قراءة كود الحضور والاستعلامات؛ رصد بيانات دخول نصية في الوصف</x:v>
      </x:c>
      <x:c r="H6" s="5" t="str">
        <x:v>7e4106a9-ca0e-4bda-9e3d-350ab1c811c2</x:v>
      </x:c>
      <x:c r="I6" s="5" t="str">
        <x:v>https://interactive-3d-portals.lovable.app</x:v>
      </x:c>
    </x:row>
    <x:row r="7" ht="62" customHeight="1">
      <x:c r="A7" s="5" t="str">
        <x:v>APP-03</x:v>
      </x:c>
      <x:c r="B7" s="5" t="str">
        <x:v>Employee journey-SAPCSP</x:v>
      </x:c>
      <x:c r="C7" s="5" t="str">
        <x:v>تهيئة موظفي الاتحاد حسب الوصف</x:v>
      </x:c>
      <x:c r="D7" s="5" t="str">
        <x:v>Turki</x:v>
      </x:c>
      <x:c r="E7" s="5" t="str">
        <x:v>نعم</x:v>
      </x:c>
      <x:c r="F7" s="5" t="str">
        <x:v>فصل نطاق بيانات الاتحاد عن الشركة</x:v>
      </x:c>
      <x:c r="G7" s="5" t="str">
        <x:v>بيانات وصفية فقط؛ الاسم كما ظهر في الموصل</x:v>
      </x:c>
      <x:c r="H7" s="5" t="str">
        <x:v>1c962b28-bb98-4eba-94f8-d4f73ba37ef5</x:v>
      </x:c>
      <x:c r="I7" s="5" t="str">
        <x:v>https://safcspjourney.lovable.app</x:v>
      </x:c>
    </x:row>
    <x:row r="8" ht="62" customHeight="1">
      <x:c r="A8" s="5" t="str">
        <x:v>APP-04</x:v>
      </x:c>
      <x:c r="B8" s="5" t="str">
        <x:v>Executive Insights</x:v>
      </x:c>
      <x:c r="C8" s="5" t="str">
        <x:v>تقرير رأس المال البشري الأسبوعي</x:v>
      </x:c>
      <x:c r="D8" s="5" t="str">
        <x:v>Turki</x:v>
      </x:c>
      <x:c r="E8" s="5" t="str">
        <x:v>نعم</x:v>
      </x:c>
      <x:c r="F8" s="5" t="str">
        <x:v>إعادة استخدام العرض وربطه ببيانات موثقة</x:v>
      </x:c>
      <x:c r="G8" s="5" t="str">
        <x:v>قراءة src/lib/reports.ts؛ جداول لقطات تقارير مستقلة</x:v>
      </x:c>
      <x:c r="H8" s="5" t="str">
        <x:v>061ed63a-5144-4b5b-a0ae-b43804b69bf9</x:v>
      </x:c>
      <x:c r="I8" s="5" t="str">
        <x:v>https://ceoreport.lovable.app</x:v>
      </x:c>
    </x:row>
    <x:row r="9" ht="62" customHeight="1">
      <x:c r="A9" s="5" t="str">
        <x:v>APP-05</x:v>
      </x:c>
      <x:c r="B9" s="5" t="str">
        <x:v>ARCCEC Insight</x:v>
      </x:c>
      <x:c r="C9" s="5" t="str">
        <x:v>فكرة خدمات استشارية وتحليل منافسين</x:v>
      </x:c>
      <x:c r="D9" s="5" t="str">
        <x:v>Turki</x:v>
      </x:c>
      <x:c r="E9" s="5" t="str">
        <x:v>نعم</x:v>
      </x:c>
      <x:c r="F9" s="5" t="str">
        <x:v>خارج نطاق النظام الداخلي حتى تحديد الملكية</x:v>
      </x:c>
      <x:c r="G9" s="5" t="str">
        <x:v>بيانات وصفية فقط</x:v>
      </x:c>
      <x:c r="H9" s="5" t="str">
        <x:v>20e3159c-9c76-4456-866a-5508341b76ec</x:v>
      </x:c>
      <x:c r="I9" s="5" t="str">
        <x:v>https://arckconsolting.lovable.app</x:v>
      </x:c>
    </x:row>
    <x:row r="10" ht="62" customHeight="1">
      <x:c r="A10" s="5" t="str">
        <x:v>APP-06</x:v>
      </x:c>
      <x:c r="B10" s="5" t="str">
        <x:v>Masar - Onboarding Demo</x:v>
      </x:c>
      <x:c r="C10" s="5" t="str">
        <x:v>عرض تهيئة محايد قابل للتقديم للعملاء</x:v>
      </x:c>
      <x:c r="D10" s="5" t="str">
        <x:v>Turki</x:v>
      </x:c>
      <x:c r="E10" s="5" t="str">
        <x:v>لا</x:v>
      </x:c>
      <x:c r="F10" s="5" t="str">
        <x:v>الإبقاء كتجربة ببيانات مصطنعة</x:v>
      </x:c>
      <x:c r="G10" s="5" t="str">
        <x:v>بيانات وصفية فقط</x:v>
      </x:c>
      <x:c r="H10" s="5" t="str">
        <x:v>70a6f9dd-1d01-4afe-81bb-930174f51846</x:v>
      </x:c>
      <x:c r="I10" s="5" t="str"/>
    </x:row>
    <x:row r="11" ht="62" customHeight="1">
      <x:c r="A11" s="5" t="str">
        <x:v>APP-07</x:v>
      </x:c>
      <x:c r="B11" s="5" t="str">
        <x:v>Annual Evaluation 3,6T</x:v>
      </x:c>
      <x:c r="C11" s="5" t="str">
        <x:v>تقييم مرتبط بالقيم واستبانات حسب الوصف</x:v>
      </x:c>
      <x:c r="D11" s="5" t="str">
        <x:v>Turki</x:v>
      </x:c>
      <x:c r="E11" s="5" t="str">
        <x:v>نعم</x:v>
      </x:c>
      <x:c r="F11" s="5" t="str">
        <x:v>إدخاله في محرك تقييم موحد بعد فحص المنطق</x:v>
      </x:c>
      <x:c r="G11" s="5" t="str">
        <x:v>بيانات وصفية؛ لا يثبت نظام أداء متكامل</x:v>
      </x:c>
      <x:c r="H11" s="5" t="str">
        <x:v>3c054b1e-270d-4ac5-be25-2cd334534c96</x:v>
      </x:c>
      <x:c r="I11" s="5" t="str">
        <x:v>https://evaluation36t.lovable.app</x:v>
      </x:c>
    </x:row>
    <x:row r="12" ht="62" customHeight="1">
      <x:c r="A12" s="5" t="str">
        <x:v>APP-08</x:v>
      </x:c>
      <x:c r="B12" s="5" t="str">
        <x:v>Employee journey- 3,6T</x:v>
      </x:c>
      <x:c r="C12" s="5" t="str">
        <x:v>رحلة تهيئة الموظف</x:v>
      </x:c>
      <x:c r="D12" s="5" t="str">
        <x:v>Turki</x:v>
      </x:c>
      <x:c r="E12" s="5" t="str">
        <x:v>نعم</x:v>
      </x:c>
      <x:c r="F12" s="5" t="str">
        <x:v>دمجها في رحلة الانضمام</x:v>
      </x:c>
      <x:c r="G12" s="5" t="str">
        <x:v>بيانات وصفية فقط</x:v>
      </x:c>
      <x:c r="H12" s="5" t="str">
        <x:v>c4e5f0cf-3d7f-4dd1-b192-97f7903eba34</x:v>
      </x:c>
      <x:c r="I12" s="5" t="str">
        <x:v>https://employeejourney.lovable.app</x:v>
      </x:c>
    </x:row>
    <x:row r="13" ht="62" customHeight="1">
      <x:c r="A13" s="5" t="str">
        <x:v>APP-09</x:v>
      </x:c>
      <x:c r="B13" s="5" t="str">
        <x:v>موظف الشهر</x:v>
      </x:c>
      <x:c r="C13" s="5" t="str">
        <x:v>ترشيح وتقييم وتكريم شهري</x:v>
      </x:c>
      <x:c r="D13" s="5" t="str">
        <x:v>Turki</x:v>
      </x:c>
      <x:c r="E13" s="5" t="str">
        <x:v>نعم</x:v>
      </x:c>
      <x:c r="F13" s="5" t="str">
        <x:v>دمج في التقدير والثقافة</x:v>
      </x:c>
      <x:c r="G13" s="5" t="str">
        <x:v>بيانات وصفية فقط</x:v>
      </x:c>
      <x:c r="H13" s="5" t="str">
        <x:v>687591f3-b923-4208-b881-4e7b893ad43d</x:v>
      </x:c>
      <x:c r="I13" s="5" t="str">
        <x:v>https://employeeofthemonth360.lovable.app</x:v>
      </x:c>
    </x:row>
    <x:row r="14" ht="62" customHeight="1">
      <x:c r="A14" s="5" t="str">
        <x:v>APP-10</x:v>
      </x:c>
      <x:c r="B14" s="5" t="str">
        <x:v>بوابة 360</x:v>
      </x:c>
      <x:c r="C14" s="5" t="str">
        <x:v>منصة واسعة تشمل التشغيل والمالية والموظفين</x:v>
      </x:c>
      <x:c r="D14" s="5" t="str">
        <x:v>Turki</x:v>
      </x:c>
      <x:c r="E14" s="5" t="str">
        <x:v>نعم</x:v>
      </x:c>
      <x:c r="F14" s="5" t="str">
        <x:v>مرشح للنواة بعد إعادة تأهيل واختبارات</x:v>
      </x:c>
      <x:c r="G14" s="5" t="str">
        <x:v>كود مختار؛ شجرة ملفات كاملة؛ 71 جدولًا وسياسات وصلاحيات</x:v>
      </x:c>
      <x:c r="H14" s="5" t="str">
        <x:v>33b3cb53-d107-4a33-86b4-f958b21171ad</x:v>
      </x:c>
      <x:c r="I14" s="5" t="str">
        <x:v>https://its-a-file-thing.lovable.app</x:v>
      </x:c>
    </x:row>
    <x:row r="15" ht="62" customHeight="1">
      <x:c r="A15" s="5" t="str">
        <x:v>APP-11</x:v>
      </x:c>
      <x:c r="B15" s="5" t="str">
        <x:v>Remix of Employee journey</x:v>
      </x:c>
      <x:c r="C15" s="5" t="str">
        <x:v>نسخة أخرى من رحلة الموظف</x:v>
      </x:c>
      <x:c r="D15" s="5" t="str">
        <x:v>Turki</x:v>
      </x:c>
      <x:c r="E15" s="5" t="str">
        <x:v>لا</x:v>
      </x:c>
      <x:c r="F15" s="5" t="str">
        <x:v>مقارنة ثم أرشفة أو دمج بإذن المالك</x:v>
      </x:c>
      <x:c r="G15" s="5" t="str">
        <x:v>بيانات وصفية؛ لم تثبت المطابقة التامة</x:v>
      </x:c>
      <x:c r="H15" s="5" t="str">
        <x:v>7b34d4b0-182d-46ac-b678-92ba68c9a825</x:v>
      </x:c>
      <x:c r="I15" s="5" t="str"/>
    </x:row>
    <x:row r="16" ht="62" customHeight="1">
      <x:c r="A16" s="5" t="str">
        <x:v>APP-12</x:v>
      </x:c>
      <x:c r="B16" s="5" t="str">
        <x:v>قيم فعاليتنا — غير منشور</x:v>
      </x:c>
      <x:c r="C16" s="5" t="str">
        <x:v>استبانة فعالية أخرى</x:v>
      </x:c>
      <x:c r="D16" s="5" t="str">
        <x:v>Turki</x:v>
      </x:c>
      <x:c r="E16" s="5" t="str">
        <x:v>لا</x:v>
      </x:c>
      <x:c r="F16" s="5" t="str">
        <x:v>دمج بعد مقارنة الأسئلة والبيانات</x:v>
      </x:c>
      <x:c r="G16" s="5" t="str">
        <x:v>بيانات وصفية فقط</x:v>
      </x:c>
      <x:c r="H16" s="5" t="str">
        <x:v>06d7bb67-ec62-4a2f-b23f-7fb1fdab851c</x:v>
      </x:c>
      <x:c r="I16" s="5" t="str"/>
    </x:row>
    <x:row r="17" ht="62" customHeight="1">
      <x:c r="A17" s="5" t="str">
        <x:v>APP-13</x:v>
      </x:c>
      <x:c r="B17" s="5" t="str">
        <x:v>مبادرة صوتك مسموع</x:v>
      </x:c>
      <x:c r="C17" s="5" t="str">
        <x:v>مقترحات وشكاوى موظفين</x:v>
      </x:c>
      <x:c r="D17" s="5" t="str">
        <x:v>Turki</x:v>
      </x:c>
      <x:c r="E17" s="5" t="str">
        <x:v>نعم</x:v>
      </x:c>
      <x:c r="F17" s="5" t="str">
        <x:v>وحدة سرية مستقلة الصلاحيات</x:v>
      </x:c>
      <x:c r="G17" s="5" t="str">
        <x:v>فحص بنية submissions وسياسات RLS وامتيازات الأدوار دون قراءة البلاغات</x:v>
      </x:c>
      <x:c r="H17" s="5" t="str">
        <x:v>b58121e9-e6ee-4a46-ae71-ad1aa1157630</x:v>
      </x:c>
      <x:c r="I17" s="5" t="str">
        <x:v>https://yourvoice360.lovable.app</x:v>
      </x:c>
    </x:row>
    <x:row r="18" ht="62" customHeight="1">
      <x:c r="A18" s="5" t="str">
        <x:v>APP-14</x:v>
      </x:c>
      <x:c r="B18" s="5" t="str">
        <x:v>CV Optimizer Pro</x:v>
      </x:c>
      <x:c r="C18" s="5" t="str">
        <x:v>أداة سيرة ذاتية شخصية</x:v>
      </x:c>
      <x:c r="D18" s="5" t="str">
        <x:v>Turki</x:v>
      </x:c>
      <x:c r="E18" s="5" t="str">
        <x:v>نعم</x:v>
      </x:c>
      <x:c r="F18" s="5" t="str">
        <x:v>خارج نطاق الشركة</x:v>
      </x:c>
      <x:c r="G18" s="5" t="str">
        <x:v>بيانات وصفية فقط</x:v>
      </x:c>
      <x:c r="H18" s="5" t="str">
        <x:v>6eb5c2f3-c317-4782-948f-2e9be4823c48</x:v>
      </x:c>
      <x:c r="I18" s="5" t="str">
        <x:v>https://turkialkhidhr.lovable.app</x:v>
      </x:c>
    </x:row>
    <x:row r="19" ht="62" customHeight="1">
      <x:c r="A19" s="5" t="str">
        <x:v>APP-15</x:v>
      </x:c>
      <x:c r="B19" s="5" t="str">
        <x:v>One to One</x:v>
      </x:c>
      <x:c r="C19" s="5" t="str">
        <x:v>اسم يوحي بلقاءات فردية؛ وصف استبانة عام</x:v>
      </x:c>
      <x:c r="D19" s="5" t="str">
        <x:v>Turki</x:v>
      </x:c>
      <x:c r="E19" s="5" t="str">
        <x:v>نعم</x:v>
      </x:c>
      <x:c r="F19" s="5" t="str">
        <x:v>حسم الغرض ثم دمجه في وحدة مناسبة</x:v>
      </x:c>
      <x:c r="G19" s="5" t="str">
        <x:v>بيانات وصفية؛ لا إثبات لميزة جدولة</x:v>
      </x:c>
      <x:c r="H19" s="5" t="str">
        <x:v>3e2109b7-bf28-4e9c-a028-a5634dd1c546</x:v>
      </x:c>
      <x:c r="I19" s="5" t="str">
        <x:v>https://one2oneceo.lovable.app</x:v>
      </x:c>
    </x:row>
    <x:row r="20" ht="62" customHeight="1">
      <x:c r="A20" s="5" t="str">
        <x:v>APP-16</x:v>
      </x:c>
      <x:c r="B20" s="5" t="str">
        <x:v>قيم فعاليتنا — منشور</x:v>
      </x:c>
      <x:c r="C20" s="5" t="str">
        <x:v>استبانة تقييم فعالية</x:v>
      </x:c>
      <x:c r="D20" s="5" t="str">
        <x:v>Turki</x:v>
      </x:c>
      <x:c r="E20" s="5" t="str">
        <x:v>نعم</x:v>
      </x:c>
      <x:c r="F20" s="5" t="str">
        <x:v>دمج في محرك استبانات واحد</x:v>
      </x:c>
      <x:c r="G20" s="5" t="str">
        <x:v>بيانات وصفية فقط</x:v>
      </x:c>
      <x:c r="H20" s="5" t="str">
        <x:v>17004436-cf5d-4e72-9c49-8ca13f2d91c2</x:v>
      </x:c>
      <x:c r="I20" s="5" t="str">
        <x:v>https://interna360.lovable.app</x:v>
      </x:c>
    </x:row>
    <x:row r="21" ht="62" customHeight="1">
      <x:c r="A21" s="5" t="str">
        <x:v>APP-17</x:v>
      </x:c>
      <x:c r="B21" s="5" t="str">
        <x:v>تقييم الفعالية</x:v>
      </x:c>
      <x:c r="C21" s="5" t="str">
        <x:v>استبانة تقييم فعالية</x:v>
      </x:c>
      <x:c r="D21" s="5" t="str">
        <x:v>Turki</x:v>
      </x:c>
      <x:c r="E21" s="5" t="str">
        <x:v>نعم</x:v>
      </x:c>
      <x:c r="F21" s="5" t="str">
        <x:v>دمج بعد مراجعة الفروقات</x:v>
      </x:c>
      <x:c r="G21" s="5" t="str">
        <x:v>بيانات وصفية فقط</x:v>
      </x:c>
      <x:c r="H21" s="5" t="str">
        <x:v>51075680-f409-4295-b502-b6b6ccf79c37</x:v>
      </x:c>
      <x:c r="I21" s="5" t="str">
        <x:v>https://internalcommunication.lovable.app</x:v>
      </x:c>
    </x:row>
    <x:row r="22" ht="62" customHeight="1">
      <x:c r="A22" s="5" t="str">
        <x:v>APP-18</x:v>
      </x:c>
      <x:c r="B22" s="5" t="str">
        <x:v>القيادة القريبة</x:v>
      </x:c>
      <x:c r="C22" s="5" t="str">
        <x:v>تفاعل مع القيادة حسب الاسم؛ وصف عام</x:v>
      </x:c>
      <x:c r="D22" s="5" t="str">
        <x:v>Turki</x:v>
      </x:c>
      <x:c r="E22" s="5" t="str">
        <x:v>نعم</x:v>
      </x:c>
      <x:c r="F22" s="5" t="str">
        <x:v>حسم الغرض والسرية ثم الدمج</x:v>
      </x:c>
      <x:c r="G22" s="5" t="str">
        <x:v>بيانات وصفية فقط</x:v>
      </x:c>
      <x:c r="H22" s="5" t="str">
        <x:v>f0e98485-e058-4e79-b69e-d13fd535b833</x:v>
      </x:c>
      <x:c r="I22" s="5" t="str">
        <x:v>https://sparkle-pulse-check.lovable.app</x:v>
      </x:c>
    </x:row>
    <x:row r="23" ht="62" customHeight="1">
      <x:c r="A23" s="5" t="str">
        <x:v>APP-19</x:v>
      </x:c>
      <x:c r="B23" s="5" t="str">
        <x:v>Remix of My Perspective Lifestyle</x:v>
      </x:c>
      <x:c r="C23" s="5" t="str">
        <x:v>قالب مدونة</x:v>
      </x:c>
      <x:c r="D23" s="5" t="str">
        <x:v>Turki</x:v>
      </x:c>
      <x:c r="E23" s="5" t="str">
        <x:v>لا</x:v>
      </x:c>
      <x:c r="F23" s="5" t="str">
        <x:v>خارج نطاق النظام الداخلي</x:v>
      </x:c>
      <x:c r="G23" s="5" t="str">
        <x:v>بيانات وصفية فقط</x:v>
      </x:c>
      <x:c r="H23" s="5" t="str">
        <x:v>5b7596f9-318c-4341-b7c5-e11d93d192dd</x:v>
      </x:c>
      <x:c r="I23" s="5" t="str"/>
    </x:row>
    <x:row r="24" ht="62" customHeight="1">
      <x:c r="A24" s="5" t="str">
        <x:v>APP-20</x:v>
      </x:c>
      <x:c r="B24" s="5" t="str">
        <x:v>Remix of Editable 36T Signature</x:v>
      </x:c>
      <x:c r="C24" s="5" t="str">
        <x:v>محرر توقيع بصري</x:v>
      </x:c>
      <x:c r="D24" s="5" t="str">
        <x:v>Abdullah-Pro</x:v>
      </x:c>
      <x:c r="E24" s="5" t="str">
        <x:v>نعم</x:v>
      </x:c>
      <x:c r="F24" s="5" t="str">
        <x:v>توحيد القالب مع النسخة الأصلية</x:v>
      </x:c>
      <x:c r="G24" s="5" t="str">
        <x:v>بيانات وصفية فقط</x:v>
      </x:c>
      <x:c r="H24" s="5" t="str">
        <x:v>fac1a1b2-710c-40ab-88c0-349708b81ea7</x:v>
      </x:c>
      <x:c r="I24" s="5" t="str">
        <x:v>https://lovely-design-editor.lovable.app</x:v>
      </x:c>
    </x:row>
    <x:row r="25" ht="62" customHeight="1">
      <x:c r="A25" s="5" t="str">
        <x:v>APP-21</x:v>
      </x:c>
      <x:c r="B25" s="5" t="str">
        <x:v>Editable 36T Signature</x:v>
      </x:c>
      <x:c r="C25" s="5" t="str">
        <x:v>توقيع موظف بهوية الشركة</x:v>
      </x:c>
      <x:c r="D25" s="5" t="str">
        <x:v>Abdullah-Pro</x:v>
      </x:c>
      <x:c r="E25" s="5" t="str">
        <x:v>نعم</x:v>
      </x:c>
      <x:c r="F25" s="5" t="str">
        <x:v>خدمة تلقائية مرتبطة بالسجل الوظيفي</x:v>
      </x:c>
      <x:c r="G25" s="5" t="str">
        <x:v>بيانات وصفية فقط</x:v>
      </x:c>
      <x:c r="H25" s="5" t="str">
        <x:v>3907b26a-6861-46ae-809d-c058b07fe3ec</x:v>
      </x:c>
      <x:c r="I25" s="5" t="str">
        <x:v>https://signature360.lovable.app</x:v>
      </x:c>
    </x:row>
    <x:row r="26" ht="62" customHeight="1">
      <x:c r="A26" s="5" t="str">
        <x:v>APP-22</x:v>
      </x:c>
      <x:c r="B26" s="5" t="str">
        <x:v>Creative Showcase</x:v>
      </x:c>
      <x:c r="C26" s="5" t="str">
        <x:v>معرض أعمال إبداعي</x:v>
      </x:c>
      <x:c r="D26" s="5" t="str">
        <x:v>Abdullah-Pro</x:v>
      </x:c>
      <x:c r="E26" s="5" t="str">
        <x:v>نعم</x:v>
      </x:c>
      <x:c r="F26" s="5" t="str">
        <x:v>إعادة استخدام العرض؛ ليس بديلًا لأرشيف الأصول</x:v>
      </x:c>
      <x:c r="G26" s="5" t="str">
        <x:v>بيانات وصفية فقط</x:v>
      </x:c>
      <x:c r="H26" s="5" t="str">
        <x:v>cefed5db-8c6a-4965-8acf-c03431ea706d</x:v>
      </x:c>
      <x:c r="I26" s="5" t="str">
        <x:v>https://directors-gallery.lovable.app</x:v>
      </x:c>
    </x:row>
    <x:row r="27" ht="62" customHeight="1">
      <x:c r="A27" s="5" t="str">
        <x:v>APP-23</x:v>
      </x:c>
      <x:c r="B27" s="5" t="str">
        <x:v>Alexandria Text Editor</x:v>
      </x:c>
      <x:c r="C27" s="5" t="str">
        <x:v>محرر نصوص وخط</x:v>
      </x:c>
      <x:c r="D27" s="5" t="str">
        <x:v>Abdullah-Free</x:v>
      </x:c>
      <x:c r="E27" s="5" t="str">
        <x:v>لا</x:v>
      </x:c>
      <x:c r="F27" s="5" t="str">
        <x:v>مكوّن مساعد للهوية فقط</x:v>
      </x:c>
      <x:c r="G27" s="5" t="str">
        <x:v>بيانات وصفية فقط</x:v>
      </x:c>
      <x:c r="H27" s="5" t="str">
        <x:v>d3111994-bd78-4344-af19-4225fc733bfb</x:v>
      </x:c>
      <x:c r="I27" s="5" t="str"/>
    </x:row>
  </x:sheetData>
  <x:mergeCells>
    <x:mergeCell ref="A1:I1"/>
    <x:mergeCell ref="A2:I2"/>
  </x:mergeCells>
  <x:pageMargins left="0.7" right="0.7" top="0.75" bottom="0.75" header="0.3" footer="0.3"/>
  <x:tableParts count="1">
    <x:tablePart xmlns:r="http://schemas.openxmlformats.org/officeDocument/2006/relationships" r:id="R666e91d5a2754c3b"/>
  </x:tableParts>
</x:worksheet>
</file>

<file path=xl/worksheets/sheet4.xml><?xml version="1.0" encoding="utf-8"?>
<x:worksheet xmlns:x="http://schemas.openxmlformats.org/spreadsheetml/2006/main">
  <x:sheetFormatPr defaultRowHeight="15"/>
  <x:cols>
    <x:col min="1" max="1" width="12" hidden="0" customWidth="1"/>
    <x:col min="2" max="2" width="10" hidden="0" customWidth="1"/>
    <x:col min="3" max="3" width="32" hidden="0" customWidth="1"/>
    <x:col min="4" max="4" width="40" hidden="0" customWidth="1"/>
    <x:col min="5" max="5" width="40" hidden="0" customWidth="1"/>
    <x:col min="6" max="6" width="27" hidden="0" customWidth="1"/>
    <x:col min="7" max="7" width="39" hidden="0" customWidth="1"/>
    <x:col min="8" max="8" width="33" hidden="0" customWidth="1"/>
    <x:col min="9" max="9" width="40" hidden="0" customWidth="1"/>
  </x:cols>
  <x:sheetData>
    <x:row r="1" ht="39" customHeight="1">
      <x:c r="A1" s="11" t="str">
        <x:v>نتائج المراجعة | 16 ملاحظة قابلة للمعالجة</x:v>
      </x:c>
      <x:c r="B1" s="11"/>
      <x:c r="C1" s="11"/>
      <x:c r="D1" s="11"/>
      <x:c r="E1" s="11"/>
      <x:c r="F1" s="11"/>
      <x:c r="G1" s="11"/>
      <x:c r="H1" s="11"/>
      <x:c r="I1" s="11"/>
    </x:row>
    <x:row r="2" ht="34" customHeight="1">
      <x:c r="A2" s="14" t="str">
        <x:v>مراجعة انتقائية للكود والإعدادات؛ لم تُجر اختبارات اختراق أو معاملات إنتاج. كل ملاحظة تبين درجة الثقة واختبار إغلاقها.</x:v>
      </x:c>
      <x:c r="B2" s="14"/>
      <x:c r="C2" s="14"/>
      <x:c r="D2" s="14"/>
      <x:c r="E2" s="14"/>
      <x:c r="F2" s="14"/>
      <x:c r="G2" s="14"/>
      <x:c r="H2" s="14"/>
      <x:c r="I2" s="14"/>
    </x:row>
    <x:row r="3" ht="9" customHeight="1">
      <x:c r="A3" s="5"/>
      <x:c r="B3" s="5"/>
      <x:c r="C3" s="5"/>
      <x:c r="D3" s="5"/>
      <x:c r="E3" s="5"/>
      <x:c r="F3" s="5"/>
      <x:c r="G3" s="5"/>
      <x:c r="H3" s="5"/>
      <x:c r="I3" s="5"/>
    </x:row>
    <x:row r="4" ht="32" customHeight="1">
      <x:c r="A4" s="17" t="str">
        <x:v>الرمز</x:v>
      </x:c>
      <x:c r="B4" s="17" t="str">
        <x:v>الأولوية</x:v>
      </x:c>
      <x:c r="C4" s="17" t="str">
        <x:v>الملاحظة</x:v>
      </x:c>
      <x:c r="D4" s="17" t="str">
        <x:v>الدليل</x:v>
      </x:c>
      <x:c r="E4" s="17" t="str">
        <x:v>المعالجة المقترحة</x:v>
      </x:c>
      <x:c r="F4" s="17" t="str">
        <x:v>المالك</x:v>
      </x:c>
      <x:c r="G4" s="17" t="str">
        <x:v>معيار الإغلاق</x:v>
      </x:c>
      <x:c r="H4" s="17" t="str">
        <x:v>درجة الثقة</x:v>
      </x:c>
      <x:c r="I4" s="17" t="str">
        <x:v>مصدر الدليل</x:v>
      </x:c>
    </x:row>
    <x:row r="5" ht="100" customHeight="1">
      <x:c r="A5" s="5" t="str">
        <x:v>F01</x:v>
      </x:c>
      <x:c r="B5" s="5" t="str">
        <x:v>P0</x:v>
      </x:c>
      <x:c r="C5" s="5" t="str">
        <x:v>بيانات دخول نصية في وصف مشروع HR</x:v>
      </x:c>
      <x:c r="D5" s="5" t="str">
        <x:v>ظهر سر دخول بصيغة نص واضح؛ لم يُنسخ في التقرير ولم تُختبر صلاحيته.</x:v>
      </x:c>
      <x:c r="E5" s="5" t="str">
        <x:v>تغيير كلمة المرور، إنهاء الجلسات القائمة، مراجعة الوصول، إزالة السر من الوصف والسجلات المتاحة.</x:v>
      </x:c>
      <x:c r="F5" s="5" t="str">
        <x:v>مسؤول الهوية / مالك المشروع</x:v>
      </x:c>
      <x:c r="G5" s="5" t="str">
        <x:v>فحص الأسرار نظيف مع إثبات إلغاء السر السابق؛ لا يكفي حذف النص وحده.</x:v>
      </x:c>
      <x:c r="H5" s="5" t="str">
        <x:v>مؤكد في الوصف؛ ليس إثبات اختراق</x:v>
      </x:c>
      <x:c r="I5" s="5" t="str">
        <x:v>وصف مشروع HR عبر list_projects</x:v>
      </x:c>
    </x:row>
    <x:row r="6" ht="100" customHeight="1">
      <x:c r="A6" s="5" t="str">
        <x:v>F02</x:v>
      </x:c>
      <x:c r="B6" s="5" t="str">
        <x:v>P0</x:v>
      </x:c>
      <x:c r="C6" s="5" t="str">
        <x:v>نتيجة فوترة إلكترونية محلية وليست قبول الهيئة</x:v>
      </x:c>
      <x:c r="D6" s="5" t="str">
        <x:v>الدوال تحدّث حالات الإرسال والقبول محليًا؛ لا يظهر اتصال بالهيئة. التوقيع عبارة عن hash محلي، حتى مسار onboarded لا يرسل فعليًا.</x:v>
      </x:c>
      <x:c r="E6" s="5" t="str">
        <x:v>حظر استخدامها للإصدار الفعلي؛ فصل المحاكاة بوضوح وربط خدمة فوترة مطابقة بعد اختبار رسمي.</x:v>
      </x:c>
      <x:c r="F6" s="5" t="str">
        <x:v>المالية / التطوير</x:v>
      </x:c>
      <x:c r="G6" s="5" t="str">
        <x:v>لا تُعرض حالة قبول رسمي إلا برد محفوظ ومعرّف تحقق من المزود أو الهيئة.</x:v>
      </x:c>
      <x:c r="H6" s="5" t="str">
        <x:v>مؤكد بالمراجعة الساكنة؛ لم تنفذ فاتورة</x:v>
      </x:c>
      <x:c r="I6" s="5" t="str">
        <x:v>بوابة 360: src/lib/zatca.ts؛ submitEInvoice / signEInvoice</x:v>
      </x:c>
    </x:row>
    <x:row r="7" ht="100" customHeight="1">
      <x:c r="A7" s="5" t="str">
        <x:v>F03</x:v>
      </x:c>
      <x:c r="B7" s="5" t="str">
        <x:v>P1</x:v>
      </x:c>
      <x:c r="C7" s="5" t="str">
        <x:v>تصدير أوامر غير معتمدة ضمن ملف المعتمد</x:v>
      </x:c>
      <x:c r="D7" s="5" t="str">
        <x:v>تقرأ الدالة purchase_orders ثم تصدر جميع النتائج دون فلتر لحالة الاعتماد.</x:v>
      </x:c>
      <x:c r="E7" s="5" t="str">
        <x:v>فرض حالة الاعتماد على الخادم وربط الملف بإصدار مصدق وبسجل تصدير.</x:v>
      </x:c>
      <x:c r="F7" s="5" t="str">
        <x:v>المشتريات / المالية</x:v>
      </x:c>
      <x:c r="G7" s="5" t="str">
        <x:v>وجود مسودة ومرفوض ومعتمد في عينة اختبار؛ لا يصدر سوى المعتمد.</x:v>
      </x:c>
      <x:c r="H7" s="5" t="str">
        <x:v>مؤكد في الدالة</x:v>
      </x:c>
      <x:c r="I7" s="5" t="str">
        <x:v>بوابة 360: src/lib/integrations.ts؛ approved_pos</x:v>
      </x:c>
    </x:row>
    <x:row r="8" ht="100" customHeight="1">
      <x:c r="A8" s="5" t="str">
        <x:v>F04</x:v>
      </x:c>
      <x:c r="B8" s="5" t="str">
        <x:v>P1</x:v>
      </x:c>
      <x:c r="C8" s="5" t="str">
        <x:v>تصدير طلب إجازة مقدم باعتباره معتمدًا</x:v>
      </x:c>
      <x:c r="D8" s="5" t="str">
        <x:v>شرط التصدير يشمل مقدّم أو مكتمل، وليس قرار اعتماد موثوقًا.</x:v>
      </x:c>
      <x:c r="E8" s="5" t="str">
        <x:v>توحيد حالات الطلب، والاعتماد، والتنفيذ؛ الاعتماد النهائي شرط مستقل للتصدير.</x:v>
      </x:c>
      <x:c r="F8" s="5" t="str">
        <x:v>رأس المال البشري</x:v>
      </x:c>
      <x:c r="G8" s="5" t="str">
        <x:v>الطلب المقدم أو المعاد لا يدخل ملف التنفيذ؛ المعتمد الملغى لا يعاد تنفيذه.</x:v>
      </x:c>
      <x:c r="H8" s="5" t="str">
        <x:v>مؤكد في الدالة؛ يلزم اختبار بقية مسار العمل</x:v>
      </x:c>
      <x:c r="I8" s="5" t="str">
        <x:v>بوابة 360: src/lib/integrations.ts؛ approved_leaves</x:v>
      </x:c>
    </x:row>
    <x:row r="9" ht="100" customHeight="1">
      <x:c r="A9" s="5" t="str">
        <x:v>F05</x:v>
      </x:c>
      <x:c r="B9" s="5" t="str">
        <x:v>P1</x:v>
      </x:c>
      <x:c r="C9" s="5" t="str">
        <x:v>مطابقة الاستيراد بالاسم ونقص سنة رصيد الإجازة</x:v>
      </x:c>
      <x:c r="D9" s="5" t="str">
        <x:v>المطابقة تقبل الاسم الكامل؛ بحث رصيد الإجازة يقيّد الموظف والنوع دون السنة.</x:v>
      </x:c>
      <x:c r="E9" s="5" t="str">
        <x:v>هوية موظف ثابتة؛ مفتاح مركب للسنة والنوع؛ منطقة مراجعة قبل الاستيراد ومعالجة التعارضات.</x:v>
      </x:c>
      <x:c r="F9" s="5" t="str">
        <x:v>مالك البيانات / HR</x:v>
      </x:c>
      <x:c r="G9" s="5" t="str">
        <x:v>موظفان بالاسم نفسه لا يختلطان؛ استيراد سنة جديدة لا يغيّر السنة السابقة.</x:v>
      </x:c>
      <x:c r="H9" s="5" t="str">
        <x:v>خطر ظاهر في المنطق؛ لم ينفذ استيراد</x:v>
      </x:c>
      <x:c r="I9" s="5" t="str">
        <x:v>بوابة 360: src/lib/integrations.ts؛ runImport</x:v>
      </x:c>
    </x:row>
    <x:row r="10" ht="100" customHeight="1">
      <x:c r="A10" s="5" t="str">
        <x:v>F06</x:v>
      </x:c>
      <x:c r="B10" s="5" t="str">
        <x:v>P1</x:v>
      </x:c>
      <x:c r="C10" s="5" t="str">
        <x:v>قراءة المشاريع والميزانيات متاحة لكل مستخدم مسجل</x:v>
      </x:c>
      <x:c r="D10" s="5" t="str">
        <x:v>سياسة القراءة true للمصادقين؛ امتياز SELECT موجود؛ الجدول يتضمن budget وspent.</x:v>
      </x:c>
      <x:c r="E10" s="5" t="str">
        <x:v>قصر المشاريع بعضوية المستخدم ومهمته؛ فصل التكلفة المالية عن العرض التشغيلي.</x:v>
      </x:c>
      <x:c r="F10" s="5" t="str">
        <x:v>الأمن / PMO / المالية</x:v>
      </x:c>
      <x:c r="G10" s="5" t="str">
        <x:v>مستخدم من خارج المشروع لا يرى المشروع أو تكلفته عبر API أو التصدير.</x:v>
      </x:c>
      <x:c r="H10" s="5" t="str">
        <x:v>مؤكد في الإعدادات؛ لم تختبر جلسة موظف</x:v>
      </x:c>
      <x:c r="I10" s="5" t="str">
        <x:v>بوابة 360: pg_policies؛ projects_read؛ information_schema.columns</x:v>
      </x:c>
    </x:row>
    <x:row r="11" ht="100" customHeight="1">
      <x:c r="A11" s="5" t="str">
        <x:v>F07</x:v>
      </x:c>
      <x:c r="B11" s="5" t="str">
        <x:v>P1</x:v>
      </x:c>
      <x:c r="C11" s="5" t="str">
        <x:v>محرك الرواتب غير كافٍ كمرجع نظامي شامل</x:v>
      </x:c>
      <x:c r="D11" s="5" t="str">
        <x:v>معدلات تأمينات عامة؛ نهاية خدمة تعتمد years وwage فقط؛ ملف حماية الأجور موصوف بأنه CSV مبدئي.</x:v>
      </x:c>
      <x:c r="E11" s="5" t="str">
        <x:v>تصنيف اشتراك مؤرخ لكل موظف، قواعد مؤرخة، سبب إنهاء واستثناءات، اعتماد مالي وHR ومطابقة رسمية.</x:v>
      </x:c>
      <x:c r="F11" s="5" t="str">
        <x:v>HR / الرواتب / المالية</x:v>
      </x:c>
      <x:c r="G11" s="5" t="str">
        <x:v>اختبارات تصنيف اشتراك وحالات إنهاء متنوعة؛ مطابقة ثلاث دورات قبل الإحلال.</x:v>
      </x:c>
      <x:c r="H11" s="5" t="str">
        <x:v>مؤكد في الدوال المقروءة؛ قد توجد مكونات أخرى لم تفحص</x:v>
      </x:c>
      <x:c r="I11" s="5" t="str">
        <x:v>بوابة 360: src/lib/payroll.ts</x:v>
      </x:c>
    </x:row>
    <x:row r="12" ht="100" customHeight="1">
      <x:c r="A12" s="5" t="str">
        <x:v>F08</x:v>
      </x:c>
      <x:c r="B12" s="5" t="str">
        <x:v>P1</x:v>
      </x:c>
      <x:c r="C12" s="5" t="str">
        <x:v>فصل إعداد الرواتب واعتمادها غير ظاهر في العينة</x:v>
      </x:c>
      <x:c r="D12" s="5" t="str">
        <x:v>اعتماد المسير تحديث مباشر؛ RLS تمنح مجموعة الأدوار نفسها الكتابة؛ المشغل الظاهر للمسير لتاريخ التحديث.</x:v>
      </x:c>
      <x:c r="E12" s="5" t="str">
        <x:v>اعتماد خادمي يمنع المصادقة الذاتية ويمنع تعديل المعتمد ويؤرخ كل نسخة.</x:v>
      </x:c>
      <x:c r="F12" s="5" t="str">
        <x:v>المالية / الأمن</x:v>
      </x:c>
      <x:c r="G12" s="5" t="str">
        <x:v>محاولة معد المسير اعتماده أو تغيير مسير معتمد تُرفض وتُسجل.</x:v>
      </x:c>
      <x:c r="H12" s="5" t="str">
        <x:v>فجوة في نطاق العينة؛ ليست نتيجة اختبار اختراق</x:v>
      </x:c>
      <x:c r="I12" s="5" t="str">
        <x:v>بوابة 360: approveRun؛ سياسات payroll_runs/payroll_lines؛ triggers</x:v>
      </x:c>
    </x:row>
    <x:row r="13" ht="100" customHeight="1">
      <x:c r="A13" s="5" t="str">
        <x:v>F09</x:v>
      </x:c>
      <x:c r="B13" s="5" t="str">
        <x:v>P2</x:v>
      </x:c>
      <x:c r="C13" s="5" t="str">
        <x:v>المسار غير المعروف مسموح افتراضيًا في الواجهة</x:v>
      </x:c>
      <x:c r="D13" s="5" t="str">
        <x:v>عند عدم وجود قاعدة للمسار ترجع الدالة true. هذا تحكم واجهة وليس وحده تحكم بيانات.</x:v>
      </x:c>
      <x:c r="E13" s="5" t="str">
        <x:v>رفض افتراضي للمسارات الجديدة مع تحقق خادمي مستقل.</x:v>
      </x:c>
      <x:c r="F13" s="5" t="str">
        <x:v>التطوير / الأمن</x:v>
      </x:c>
      <x:c r="G13" s="5" t="str">
        <x:v>مسار جديد بلا سياسة يرفض الوصول؛ الأذونات لا تعتمد على إخفاء زر فقط.</x:v>
      </x:c>
      <x:c r="H13" s="5" t="str">
        <x:v>مؤكد في الكود؛ لا يثبت تجاوز قاعدة البيانات</x:v>
      </x:c>
      <x:c r="I13" s="5" t="str">
        <x:v>بوابة 360: src/lib/access.ts؛ canAccessWith</x:v>
      </x:c>
    </x:row>
    <x:row r="14" ht="100" customHeight="1">
      <x:c r="A14" s="5" t="str">
        <x:v>F10</x:v>
      </x:c>
      <x:c r="B14" s="5" t="str">
        <x:v>P2</x:v>
      </x:c>
      <x:c r="C14" s="5" t="str">
        <x:v>تعريف الحضور وتاريخ اليوم يحتاج توحيدًا</x:v>
      </x:c>
      <x:c r="D14" s="5" t="str">
        <x:v>today يعتمد UTC؛ غير absent يحتسب حضورًا بما فيه leave؛ المقام هو السجلات الموجودة لا الموظفون المتوقع حضورهم.</x:v>
      </x:c>
      <x:c r="E14" s="5" t="str">
        <x:v>تقويم آسيا/الرياض، فصل الحضور والإجازة والغياب والسجل الناقص، وتعريف مؤشر معتمد.</x:v>
      </x:c>
      <x:c r="F14" s="5" t="str">
        <x:v>HR / التحليلات</x:v>
      </x:c>
      <x:c r="G14" s="5" t="str">
        <x:v>اختبارات 00:30 بالرياض، موظف في إجازة وآخر بلا سجل؛ المؤشر يطابق التعريف المعتمد.</x:v>
      </x:c>
      <x:c r="H14" s="5" t="str">
        <x:v>مؤكد في الحساب؛ الأثر التشغيلي لم يقس</x:v>
      </x:c>
      <x:c r="I14" s="5" t="str">
        <x:v>HR: src/lib/queries.ts؛ AttendancePage.tsx</x:v>
      </x:c>
    </x:row>
    <x:row r="15" ht="100" customHeight="1">
      <x:c r="A15" s="5" t="str">
        <x:v>F11</x:v>
      </x:c>
      <x:c r="B15" s="5" t="str">
        <x:v>P2</x:v>
      </x:c>
      <x:c r="C15" s="5" t="str">
        <x:v>التكاملات المقروءة هي CSV لا مزامنة API مثبتة</x:v>
      </x:c>
      <x:c r="D15" s="5" t="str">
        <x:v>وجود تسميات SAP وOracle وZoho وJisr في قوائم الاستيراد والتصدير لا يثبت استخدامها أو وجود ربط حي.</x:v>
      </x:c>
      <x:c r="E15" s="5" t="str">
        <x:v>جرد الأنظمة الفعلية؛ توثيق المالك واتجاه الربط والمفاتيح وإعادة المحاولة والمطابقة.</x:v>
      </x:c>
      <x:c r="F15" s="5" t="str">
        <x:v>التكاملات / ملاك الأنظمة</x:v>
      </x:c>
      <x:c r="G15" s="5" t="str">
        <x:v>انقطاع ثم إعادة تشغيل لا يكرر معاملة؛ لوحة آخر مزامنة ناجحة وأخطاء معلقة.</x:v>
      </x:c>
      <x:c r="H15" s="5" t="str">
        <x:v>مؤكد لنطاق الملف؛ لا ينفي ربطًا خارج العينة</x:v>
      </x:c>
      <x:c r="I15" s="5" t="str">
        <x:v>بوابة 360: src/lib/integrations.ts</x:v>
      </x:c>
    </x:row>
    <x:row r="16" ht="100" customHeight="1">
      <x:c r="A16" s="5" t="str">
        <x:v>F12</x:v>
      </x:c>
      <x:c r="B16" s="5" t="str">
        <x:v>P2</x:v>
      </x:c>
      <x:c r="C16" s="5" t="str">
        <x:v>لا أمر اختبارات آلية في حزمة البوابة</x:v>
      </x:c>
      <x:c r="D16" s="5" t="str">
        <x:v>scripts المعروضة dev/build/preview/lint/format؛ لا test. لم تُشاهد حزمة اختبار ضمن الملفات المفحوصة.</x:v>
      </x:c>
      <x:c r="E16" s="5" t="str">
        <x:v>اختبارات وحدة وقاعدة بيانات وصلاحيات ونهاية إلى نهاية مع بوابة CI.</x:v>
      </x:c>
      <x:c r="F16" s="5" t="str">
        <x:v>ضمان الجودة / التطوير</x:v>
      </x:c>
      <x:c r="G16" s="5" t="str">
        <x:v>فشل اختبار مالي أو أمني يمنع الدمج والنشر؛ إثبات نجاح استعادة نسخة احتياطية.</x:v>
      </x:c>
      <x:c r="H16" s="5" t="str">
        <x:v>مؤكد في package.json؛ ليس حصرًا لاختبارات خارج المشروع</x:v>
      </x:c>
      <x:c r="I16" s="5" t="str">
        <x:v>بوابة 360: package.json وقائمة الملفات</x:v>
      </x:c>
    </x:row>
    <x:row r="17" ht="100" customHeight="1">
      <x:c r="A17" s="5" t="str">
        <x:v>F13</x:v>
      </x:c>
      <x:c r="B17" s="5" t="str">
        <x:v>P2</x:v>
      </x:c>
      <x:c r="C17" s="5" t="str">
        <x:v>سياسة زمنية قديمة في صوتك مسموع غير فعالة حاليًا للقراءة</x:v>
      </x:c>
      <x:c r="D17" s="5" t="str">
        <x:v>توجد سياسة قراءة لآخر خمس ثوانٍ؛ لكن امتياز SELECT غير ممنوح حاليًا لـ anon وauthenticated. لم تُقرأ أي شكوى.</x:v>
      </x:c>
      <x:c r="E17" s="5" t="str">
        <x:v>إزالة السياسة الزمنية لتجنب تفعيلها لاحقًا، وإرجاع رقم مرجعي عبر خدمة آمنة دون كشف صف البلاغ.</x:v>
      </x:c>
      <x:c r="F17" s="5" t="str">
        <x:v>الأمن / مسؤول الشكاوى</x:v>
      </x:c>
      <x:c r="G17" s="5" t="str">
        <x:v>لا قراءة للبلاغات من الجمهور قبل/بعد الإرسال، مع اختبار الامتياز والسياسة معًا.</x:v>
      </x:c>
      <x:c r="H17" s="5" t="str">
        <x:v>مؤكد؛ خطر كامن وليس تسريبًا مثبتًا</x:v>
      </x:c>
      <x:c r="I17" s="5" t="str">
        <x:v>صوتك مسموع: سياسات submissions؛ has_table_privilege</x:v>
      </x:c>
    </x:row>
    <x:row r="18" ht="100" customHeight="1">
      <x:c r="A18" s="5" t="str">
        <x:v>F14</x:v>
      </x:c>
      <x:c r="B18" s="5" t="str">
        <x:v>P2</x:v>
      </x:c>
      <x:c r="C18" s="5" t="str">
        <x:v>اختلاف نطاق المرفق بين البيانات والتخزين</x:v>
      </x:c>
      <x:c r="D18" s="5" t="str">
        <x:v>قراءة سجل المرفق تشمل مكلف المهمة، بينما سياسة كائن التخزين المقروءة لا تتضمن المسار نفسه للمهمة.</x:v>
      </x:c>
      <x:c r="E18" s="5" t="str">
        <x:v>توحيد تفويض المرفقات والكائنات مع اختبار الرفع والتنزيل والإلغاء.</x:v>
      </x:c>
      <x:c r="F18" s="5" t="str">
        <x:v>التطوير / الأمن</x:v>
      </x:c>
      <x:c r="G18" s="5" t="str">
        <x:v>مكلف المهمة ينزل المرفق المسموح فقط؛ غير المكلف يرفض حتى مع معرفة الرابط.</x:v>
      </x:c>
      <x:c r="H18" s="5" t="str">
        <x:v>تعارض إعدادات محتمل؛ لم يختبر تنزيل فعلي</x:v>
      </x:c>
      <x:c r="I18" s="5" t="str">
        <x:v>بوابة 360: سياسات attachments وstorage.objects</x:v>
      </x:c>
    </x:row>
    <x:row r="19" ht="100" customHeight="1">
      <x:c r="A19" s="5" t="str">
        <x:v>F15</x:v>
      </x:c>
      <x:c r="B19" s="5" t="str">
        <x:v>P2</x:v>
      </x:c>
      <x:c r="C19" s="5" t="str">
        <x:v>تعدد نماذج الموظف والمؤشرات</x:v>
      </x:c>
      <x:c r="D19" s="5" t="str">
        <x:v>البوابة تستخدم employees وemployee_private؛ HR نموذج مختلف؛ التقارير تحفظ weekly_reports وجداول report_*.</x:v>
      </x:c>
      <x:c r="E19" s="5" t="str">
        <x:v>مرجع بيانات واحد، معرّفات خارجية، قاموس مؤشرات، لقطات تقارير مؤرخة ومصدقة.</x:v>
      </x:c>
      <x:c r="F19" s="5" t="str">
        <x:v>مالك البيانات / HR / التحليلات</x:v>
      </x:c>
      <x:c r="G19" s="5" t="str">
        <x:v>تغيير موظف معتمد يصل للواجهات حسب اتفاق البيانات دون إدخال متكرر.</x:v>
      </x:c>
      <x:c r="H19" s="5" t="str">
        <x:v>مؤكد في النماذج؛ لا يثبت تطابق أو اختلاف القيم الفعلية</x:v>
      </x:c>
      <x:c r="I19" s="5" t="str">
        <x:v>بوابة 360 وHR وExecutive Insights</x:v>
      </x:c>
    </x:row>
    <x:row r="20" ht="100" customHeight="1">
      <x:c r="A20" s="5" t="str">
        <x:v>F16</x:v>
      </x:c>
      <x:c r="B20" s="5" t="str">
        <x:v>P2</x:v>
      </x:c>
      <x:c r="C20" s="5" t="str">
        <x:v>المستودع المتاح ليس نسخة من منصة الشركة</x:v>
      </x:c>
      <x:c r="D20" s="5" t="str">
        <x:v>الشجرة المقروءة تحوي README.md فقط؛ لا تطبيق. هذا حد صلاحية الموصل وليس حصر كل مستودعات الشركة.</x:v>
      </x:c>
      <x:c r="E20" s="5" t="str">
        <x:v>تثبيت الملكية المؤسسية وربط المشاريع المقصودة بمستودعات معتمدة وPR وCI وخطة خروج.</x:v>
      </x:c>
      <x:c r="F20" s="5" t="str">
        <x:v>مالك التقنية</x:v>
      </x:c>
      <x:c r="G20" s="5" t="str">
        <x:v>استنساخ المصدر والمخطط وبناء نسخة اختبار مستقل مع سجل تغييرات.</x:v>
      </x:c>
      <x:c r="H20" s="5" t="str">
        <x:v>مؤكد للشجرة والمستودع المتاحين</x:v>
      </x:c>
      <x:c r="I20" s="5" t="str">
        <x:v>GitHub: turki-stack/g؛ commit 40b34b34d63679ecfd93000d178d155c0b0457e2</x:v>
      </x:c>
    </x:row>
  </x:sheetData>
  <x:mergeCells>
    <x:mergeCell ref="A1:I1"/>
    <x:mergeCell ref="A2:I2"/>
  </x:mergeCells>
  <x:conditionalFormatting sqref="B5:B20">
    <x:cfRule type="expression" dxfId="4" priority="1">
      <x:formula>B5="P0"</x:formula>
    </x:cfRule>
    <x:cfRule type="expression" dxfId="5" priority="2">
      <x:formula>B5="P1"</x:formula>
    </x:cfRule>
  </x:conditionalFormatting>
  <x:pageMargins left="0.7" right="0.7" top="0.75" bottom="0.75" header="0.3" footer="0.3"/>
  <x:tableParts count="1">
    <x:tablePart xmlns:r="http://schemas.openxmlformats.org/officeDocument/2006/relationships" r:id="R360385f7f898406e"/>
  </x:tableParts>
</x:worksheet>
</file>

<file path=xl/worksheets/sheet5.xml><?xml version="1.0" encoding="utf-8"?>
<x:worksheet xmlns:x="http://schemas.openxmlformats.org/spreadsheetml/2006/main">
  <x:sheetFormatPr defaultRowHeight="15"/>
  <x:cols>
    <x:col min="1" max="1" width="25" hidden="0" customWidth="1"/>
    <x:col min="2" max="2" width="24" hidden="0" customWidth="1"/>
    <x:col min="3" max="3" width="40" hidden="0" customWidth="1"/>
    <x:col min="4" max="4" width="28" hidden="0" customWidth="1"/>
    <x:col min="5" max="5" width="35" hidden="0" customWidth="1"/>
    <x:col min="6" max="6" width="40" hidden="0" customWidth="1"/>
  </x:cols>
  <x:sheetData>
    <x:row r="1" ht="39" customHeight="1">
      <x:c r="A1" s="11" t="str">
        <x:v>قاموس البيانات والمرجع المعتمد</x:v>
      </x:c>
      <x:c r="B1" s="11"/>
      <x:c r="C1" s="11"/>
      <x:c r="D1" s="11"/>
      <x:c r="E1" s="11"/>
      <x:c r="F1" s="11"/>
    </x:row>
    <x:row r="2" ht="34" customHeight="1">
      <x:c r="A2" s="14" t="str">
        <x:v>يحدد مالكًا واحدًا لكل سجل مرجعي. التطبيق الذي يعرض البيانات ليس بالضرورة مصدرها المعتمد.</x:v>
      </x:c>
      <x:c r="B2" s="14"/>
      <x:c r="C2" s="14"/>
      <x:c r="D2" s="14"/>
      <x:c r="E2" s="14"/>
      <x:c r="F2" s="14"/>
    </x:row>
    <x:row r="3" ht="9" customHeight="1">
      <x:c r="A3" s="5"/>
      <x:c r="B3" s="5"/>
      <x:c r="C3" s="5"/>
      <x:c r="D3" s="5"/>
      <x:c r="E3" s="5"/>
      <x:c r="F3" s="5"/>
    </x:row>
    <x:row r="4" ht="32" customHeight="1">
      <x:c r="A4" s="17" t="str">
        <x:v>الكيان</x:v>
      </x:c>
      <x:c r="B4" s="17" t="str">
        <x:v>المعرف الثابت</x:v>
      </x:c>
      <x:c r="C4" s="17" t="str">
        <x:v>حقول أساسية</x:v>
      </x:c>
      <x:c r="D4" s="17" t="str">
        <x:v>مالك البيانات</x:v>
      </x:c>
      <x:c r="E4" s="17" t="str">
        <x:v>المصدر المعتمد المقترح</x:v>
      </x:c>
      <x:c r="F4" s="17" t="str">
        <x:v>ضابط تصميم</x:v>
      </x:c>
    </x:row>
    <x:row r="5" ht="75" customHeight="1">
      <x:c r="A5" s="5" t="str">
        <x:v>الكيان القانوني</x:v>
      </x:c>
      <x:c r="B5" s="5" t="str">
        <x:v>entity_id</x:v>
      </x:c>
      <x:c r="C5" s="5" t="str">
        <x:v>الاسم والسجل والضريبة والعنوان والعملة ونطاق البيانات</x:v>
      </x:c>
      <x:c r="D5" s="5" t="str">
        <x:v>الشؤون القانونية / المالية</x:v>
      </x:c>
      <x:c r="E5" s="5" t="str">
        <x:v>مرجع كيانات معتمد</x:v>
      </x:c>
      <x:c r="F5" s="5" t="str">
        <x:v>حصر الكيانات قبل أي تصميم متعدد الجهات</x:v>
      </x:c>
    </x:row>
    <x:row r="6" ht="75" customHeight="1">
      <x:c r="A6" s="5" t="str">
        <x:v>المستخدم</x:v>
      </x:c>
      <x:c r="B6" s="5" t="str">
        <x:v>user_id</x:v>
      </x:c>
      <x:c r="C6" s="5" t="str">
        <x:v>هوية الدخول وحالة الحساب وMFA وارتباط الموظف أو الطرف الخارجي</x:v>
      </x:c>
      <x:c r="D6" s="5" t="str">
        <x:v>التقنية</x:v>
      </x:c>
      <x:c r="E6" s="5" t="str">
        <x:v>مزود الهوية المؤسسية</x:v>
      </x:c>
      <x:c r="F6" s="5" t="str">
        <x:v>المستخدم ليس دائمًا موظفًا</x:v>
      </x:c>
    </x:row>
    <x:row r="7" ht="75" customHeight="1">
      <x:c r="A7" s="5" t="str">
        <x:v>الموظف</x:v>
      </x:c>
      <x:c r="B7" s="5" t="str">
        <x:v>employee_id</x:v>
      </x:c>
      <x:c r="C7" s="5" t="str">
        <x:v>الرقم والاسم والكيان والتعيين والحالة والمدير والوظيفة</x:v>
      </x:c>
      <x:c r="D7" s="5" t="str">
        <x:v>HR</x:v>
      </x:c>
      <x:c r="E7" s="5" t="str">
        <x:v>النظام الوظيفي المعتمد</x:v>
      </x:c>
      <x:c r="F7" s="5" t="str">
        <x:v>تاريخ سريان؛ لا تستخدم الاسم كمفتاح</x:v>
      </x:c>
    </x:row>
    <x:row r="8" ht="75" customHeight="1">
      <x:c r="A8" s="5" t="str">
        <x:v>البيانات الخاصة للموظف</x:v>
      </x:c>
      <x:c r="B8" s="5" t="str">
        <x:v>employee_private_id</x:v>
      </x:c>
      <x:c r="C8" s="5" t="str">
        <x:v>الأجر والهوية والآيبان والوثائق الحساسة</x:v>
      </x:c>
      <x:c r="D8" s="5" t="str">
        <x:v>HR / الرواتب</x:v>
      </x:c>
      <x:c r="E8" s="5" t="str">
        <x:v>نطاق مقيد منفصل</x:v>
      </x:c>
      <x:c r="F8" s="5" t="str">
        <x:v>لا تعرض في دليل الموظفين</x:v>
      </x:c>
    </x:row>
    <x:row r="9" ht="75" customHeight="1">
      <x:c r="A9" s="5" t="str">
        <x:v>الإدارة والوظيفة</x:v>
      </x:c>
      <x:c r="B9" s="5" t="str">
        <x:v>department_id / position_id</x:v>
      </x:c>
      <x:c r="C9" s="5" t="str">
        <x:v>الهيكل وخط التقرير والدرجة والشاغر وصلاحية الاعتماد</x:v>
      </x:c>
      <x:c r="D9" s="5" t="str">
        <x:v>HR</x:v>
      </x:c>
      <x:c r="E9" s="5" t="str">
        <x:v>هيكل معتمد مؤرخ</x:v>
      </x:c>
      <x:c r="F9" s="5" t="str">
        <x:v>الهيكل ليس قائمة الخدمات في البروفايل</x:v>
      </x:c>
    </x:row>
    <x:row r="10" ht="75" customHeight="1">
      <x:c r="A10" s="5" t="str">
        <x:v>مركز التكلفة</x:v>
      </x:c>
      <x:c r="B10" s="5" t="str">
        <x:v>cost_center_id</x:v>
      </x:c>
      <x:c r="C10" s="5" t="str">
        <x:v>الكود والمالك والمخصص والفترة</x:v>
      </x:c>
      <x:c r="D10" s="5" t="str">
        <x:v>المالية</x:v>
      </x:c>
      <x:c r="E10" s="5" t="str">
        <x:v>المرجع المالي</x:v>
      </x:c>
      <x:c r="F10" s="5" t="str">
        <x:v>لا يستبدل باسم الإدارة الحر</x:v>
      </x:c>
    </x:row>
    <x:row r="11" ht="75" customHeight="1">
      <x:c r="A11" s="5" t="str">
        <x:v>العميل وجهة الاتصال</x:v>
      </x:c>
      <x:c r="B11" s="5" t="str">
        <x:v>account_id / contact_id</x:v>
      </x:c>
      <x:c r="C11" s="5" t="str">
        <x:v>كيان العميل ومفوضوه وتفويض كل شخص</x:v>
      </x:c>
      <x:c r="D11" s="5" t="str">
        <x:v>المبيعات / الحسابات</x:v>
      </x:c>
      <x:c r="E11" s="5" t="str">
        <x:v>CRM المعتمد</x:v>
      </x:c>
      <x:c r="F11" s="5" t="str">
        <x:v>عزل العملاء ومنع تكرار جهة قانونية</x:v>
      </x:c>
    </x:row>
    <x:row r="12" ht="75" customHeight="1">
      <x:c r="A12" s="5" t="str">
        <x:v>الفرصة والعرض</x:v>
      </x:c>
      <x:c r="B12" s="5" t="str">
        <x:v>opportunity_id / quote_version_id</x:v>
      </x:c>
      <x:c r="C12" s="5" t="str">
        <x:v>القيمة والمرحلة والاحتمال والنسخة والتسعير والهامش</x:v>
      </x:c>
      <x:c r="D12" s="5" t="str">
        <x:v>النمو</x:v>
      </x:c>
      <x:c r="E12" s="5" t="str">
        <x:v>CRM / تسعير</x:v>
      </x:c>
      <x:c r="F12" s="5" t="str">
        <x:v>الفوز ليس اعترافًا محاسبيًا بالإيراد</x:v>
      </x:c>
    </x:row>
    <x:row r="13" ht="75" customHeight="1">
      <x:c r="A13" s="5" t="str">
        <x:v>العقد</x:v>
      </x:c>
      <x:c r="B13" s="5" t="str">
        <x:v>contract_id / version_id</x:v>
      </x:c>
      <x:c r="C13" s="5" t="str">
        <x:v>النطاق والحقوق والتواريخ والقيمة والتوقيع</x:v>
      </x:c>
      <x:c r="D13" s="5" t="str">
        <x:v>القانونية</x:v>
      </x:c>
      <x:c r="E13" s="5" t="str">
        <x:v>سجل العقود</x:v>
      </x:c>
      <x:c r="F13" s="5" t="str">
        <x:v>رابط النسخة الموقعة ثابت</x:v>
      </x:c>
    </x:row>
    <x:row r="14" ht="75" customHeight="1">
      <x:c r="A14" s="5" t="str">
        <x:v>المشروع والحملة</x:v>
      </x:c>
      <x:c r="B14" s="5" t="str">
        <x:v>project_id / campaign_id</x:v>
      </x:c>
      <x:c r="C14" s="5" t="str">
        <x:v>العميل والعقد والنطاق والمدير والمواعيد والميزانية</x:v>
      </x:c>
      <x:c r="D14" s="5" t="str">
        <x:v>PMO</x:v>
      </x:c>
      <x:c r="E14" s="5" t="str">
        <x:v>النظام التشغيلي</x:v>
      </x:c>
      <x:c r="F14" s="5" t="str">
        <x:v>مدير المشروع وعضوية الفريق معرفات لا نصوص فقط</x:v>
      </x:c>
    </x:row>
    <x:row r="15" ht="75" customHeight="1">
      <x:c r="A15" s="5" t="str">
        <x:v>المخرج والنسخة</x:v>
      </x:c>
      <x:c r="B15" s="5" t="str">
        <x:v>deliverable_id / version_id</x:v>
      </x:c>
      <x:c r="C15" s="5" t="str">
        <x:v>النوع والمواصفات والموعد والملف والاعتماد</x:v>
      </x:c>
      <x:c r="D15" s="5" t="str">
        <x:v>التشغيل</x:v>
      </x:c>
      <x:c r="E15" s="5" t="str">
        <x:v>النظام التشغيلي / الأصول</x:v>
      </x:c>
      <x:c r="F15" s="5" t="str">
        <x:v>اعتماد نسخة لا ينتقل لأخرى</x:v>
      </x:c>
    </x:row>
    <x:row r="16" ht="75" customHeight="1">
      <x:c r="A16" s="5" t="str">
        <x:v>المهمة والساعات</x:v>
      </x:c>
      <x:c r="B16" s="5" t="str">
        <x:v>task_id / time_entry_id</x:v>
      </x:c>
      <x:c r="C16" s="5" t="str">
        <x:v>المكلف والموعد والحالة والساعات والقبول</x:v>
      </x:c>
      <x:c r="D16" s="5" t="str">
        <x:v>مدير المشروع</x:v>
      </x:c>
      <x:c r="E16" s="5" t="str">
        <x:v>مرجع مهام واحد</x:v>
      </x:c>
      <x:c r="F16" s="5" t="str">
        <x:v>تعريف ملكية حالة المهمة عند ربط Asana</x:v>
      </x:c>
    </x:row>
    <x:row r="17" ht="75" customHeight="1">
      <x:c r="A17" s="5" t="str">
        <x:v>المورد والمؤثر</x:v>
      </x:c>
      <x:c r="B17" s="5" t="str">
        <x:v>vendor_id / influencer_id</x:v>
      </x:c>
      <x:c r="C17" s="5" t="str">
        <x:v>الكيان والحساب والتأهيل والحقوق والعروض</x:v>
      </x:c>
      <x:c r="D17" s="5" t="str">
        <x:v>المشتريات / المؤثرين</x:v>
      </x:c>
      <x:c r="E17" s="5" t="str">
        <x:v>مرجع الموردين</x:v>
      </x:c>
      <x:c r="F17" s="5" t="str">
        <x:v>قد يكون المؤثر موردًا؛ يربطان دون تكرار</x:v>
      </x:c>
    </x:row>
    <x:row r="18" ht="75" customHeight="1">
      <x:c r="A18" s="5" t="str">
        <x:v>أمر الشراء والاستلام</x:v>
      </x:c>
      <x:c r="B18" s="5" t="str">
        <x:v>po_id / receipt_id</x:v>
      </x:c>
      <x:c r="C18" s="5" t="str">
        <x:v>المواصفات والبنود والقيمة والاعتماد والاستلام</x:v>
      </x:c>
      <x:c r="D18" s="5" t="str">
        <x:v>المشتريات</x:v>
      </x:c>
      <x:c r="E18" s="5" t="str">
        <x:v>نظام المشتريات</x:v>
      </x:c>
      <x:c r="F18" s="5" t="str">
        <x:v>ربط كل بند بمشروع أو مركز تكلفة</x:v>
      </x:c>
    </x:row>
    <x:row r="19" ht="75" customHeight="1">
      <x:c r="A19" s="5" t="str">
        <x:v>الفاتورة والسداد</x:v>
      </x:c>
      <x:c r="B19" s="5" t="str">
        <x:v>invoice_id / payment_id</x:v>
      </x:c>
      <x:c r="C19" s="5" t="str">
        <x:v>المصدر والمبلغ والعملة والضريبة وحالة الربط والقبض</x:v>
      </x:c>
      <x:c r="D19" s="5" t="str">
        <x:v>المالية</x:v>
      </x:c>
      <x:c r="E19" s="5" t="str">
        <x:v>المرجع المالي الرسمي</x:v>
      </x:c>
      <x:c r="F19" s="5" t="str">
        <x:v>لا يساوى اعتماد النظام بتنفيذ البنك أو الهيئة</x:v>
      </x:c>
    </x:row>
    <x:row r="20" ht="75" customHeight="1">
      <x:c r="A20" s="5" t="str">
        <x:v>طلب الخدمة والاعتماد</x:v>
      </x:c>
      <x:c r="B20" s="5" t="str">
        <x:v>request_id / approval_instance_id</x:v>
      </x:c>
      <x:c r="C20" s="5" t="str">
        <x:v>نوع ونسخة نموذج وحالة ومسار وقرارات ومهلة</x:v>
      </x:c>
      <x:c r="D20" s="5" t="str">
        <x:v>مالك الإجراء</x:v>
      </x:c>
      <x:c r="E20" s="5" t="str">
        <x:v>محرك العمل</x:v>
      </x:c>
      <x:c r="F20" s="5" t="str">
        <x:v>قرار مستقل عن حالة التنفيذ؛ منع القفز</x:v>
      </x:c>
    </x:row>
    <x:row r="21" ht="75" customHeight="1">
      <x:c r="A21" s="5" t="str">
        <x:v>الأصل والمرفق</x:v>
      </x:c>
      <x:c r="B21" s="5" t="str">
        <x:v>asset_id / attachment_id</x:v>
      </x:c>
      <x:c r="C21" s="5" t="str">
        <x:v>المالك والموقع والحقوق والنسخة ومسار التخزين</x:v>
      </x:c>
      <x:c r="D21" s="5" t="str">
        <x:v>التقنية / الإنتاج</x:v>
      </x:c>
      <x:c r="E21" s="5" t="str">
        <x:v>مرجع الأصول والتخزين</x:v>
      </x:c>
      <x:c r="F21" s="5" t="str">
        <x:v>ضوابط بيانات المرفق وكائن التخزين موحدة</x:v>
      </x:c>
    </x:row>
    <x:row r="22" ht="75" customHeight="1">
      <x:c r="A22" s="5" t="str">
        <x:v>المؤشر واللقطة</x:v>
      </x:c>
      <x:c r="B22" s="5" t="str">
        <x:v>metric_id / snapshot_id</x:v>
      </x:c>
      <x:c r="C22" s="5" t="str">
        <x:v>التعريف والمصدر والفترة والبيانات والاعتماد</x:v>
      </x:c>
      <x:c r="D22" s="5" t="str">
        <x:v>مالك البيانات</x:v>
      </x:c>
      <x:c r="E22" s="5" t="str">
        <x:v>طبقة التحليلات</x:v>
      </x:c>
      <x:c r="F22" s="5" t="str">
        <x:v>نسخة مؤرخة لا خليط من فترات مختلفة</x:v>
      </x:c>
    </x:row>
  </x:sheetData>
  <x:mergeCells>
    <x:mergeCell ref="A1:F1"/>
    <x:mergeCell ref="A2:F2"/>
  </x:mergeCells>
  <x:pageMargins left="0.7" right="0.7" top="0.75" bottom="0.75" header="0.3" footer="0.3"/>
  <x:tableParts count="1">
    <x:tablePart xmlns:r="http://schemas.openxmlformats.org/officeDocument/2006/relationships" r:id="R7150791fb40a4e7a"/>
  </x:tableParts>
</x:worksheet>
</file>

<file path=xl/worksheets/sheet6.xml><?xml version="1.0" encoding="utf-8"?>
<x:worksheet xmlns:x="http://schemas.openxmlformats.org/spreadsheetml/2006/main">
  <x:sheetFormatPr defaultRowHeight="15"/>
  <x:cols>
    <x:col min="1" max="1" width="12" hidden="0" customWidth="1"/>
    <x:col min="2" max="2" width="26" hidden="0" customWidth="1"/>
    <x:col min="3" max="3" width="40" hidden="0" customWidth="1"/>
    <x:col min="4" max="4" width="35" hidden="0" customWidth="1"/>
    <x:col min="5" max="5" width="40" hidden="0" customWidth="1"/>
    <x:col min="6" max="6" width="38" hidden="0" customWidth="1"/>
  </x:cols>
  <x:sheetData>
    <x:row r="1" ht="39" customHeight="1">
      <x:c r="A1" s="11" t="str">
        <x:v>مسارات العمل من البداية إلى النهاية</x:v>
      </x:c>
      <x:c r="B1" s="11"/>
      <x:c r="C1" s="11"/>
      <x:c r="D1" s="11"/>
      <x:c r="E1" s="11"/>
      <x:c r="F1" s="11"/>
    </x:row>
    <x:row r="2" ht="34" customHeight="1">
      <x:c r="A2" s="14" t="str">
        <x:v>اكتمال النموذج أو المهمة لا يساوي اكتمال الدورة التشغيلية. يجب معالجة الرفض والتعديل والتفويض والأخطاء وإعادة المحاولة.</x:v>
      </x:c>
      <x:c r="B2" s="14"/>
      <x:c r="C2" s="14"/>
      <x:c r="D2" s="14"/>
      <x:c r="E2" s="14"/>
      <x:c r="F2" s="14"/>
    </x:row>
    <x:row r="3" ht="9" customHeight="1">
      <x:c r="A3" s="5"/>
      <x:c r="B3" s="5"/>
      <x:c r="C3" s="5"/>
      <x:c r="D3" s="5"/>
      <x:c r="E3" s="5"/>
      <x:c r="F3" s="5"/>
    </x:row>
    <x:row r="4" ht="32" customHeight="1">
      <x:c r="A4" s="17" t="str">
        <x:v>الرمز</x:v>
      </x:c>
      <x:c r="B4" s="17" t="str">
        <x:v>المسار</x:v>
      </x:c>
      <x:c r="C4" s="17" t="str">
        <x:v>الخطوات</x:v>
      </x:c>
      <x:c r="D4" s="17" t="str">
        <x:v>الأطراف المسؤولة</x:v>
      </x:c>
      <x:c r="E4" s="17" t="str">
        <x:v>نقطة الضبط</x:v>
      </x:c>
      <x:c r="F4" s="17" t="str">
        <x:v>الاستثناءات</x:v>
      </x:c>
    </x:row>
    <x:row r="5" ht="92" customHeight="1">
      <x:c r="A5" s="5" t="str">
        <x:v>WF01</x:v>
      </x:c>
      <x:c r="B5" s="5" t="str">
        <x:v>من فرصة إلى تحصيل</x:v>
      </x:c>
      <x:c r="C5" s="5" t="str">
        <x:v>تأهيل ← عرض مسعر ← اعتماد هامش ← عقد ← مشروع ← موارد ومخرجات ← قبول العميل ← فاتورة صحيحة ← تحصيل ← تحليل هامش</x:v>
      </x:c>
      <x:c r="D5" s="5" t="str">
        <x:v>مدير الحساب + PMO + المالية</x:v>
      </x:c>
      <x:c r="E5" s="5" t="str">
        <x:v>لا التزام دون نطاق وميزانية؛ لا فوترة بلا استحقاق تعاقدي</x:v>
      </x:c>
      <x:c r="F5" s="5" t="str">
        <x:v>تغيير نطاق / نزاع / دفعة مقدمة / عقد اشتراك</x:v>
      </x:c>
    </x:row>
    <x:row r="6" ht="92" customHeight="1">
      <x:c r="A6" s="5" t="str">
        <x:v>WF02</x:v>
      </x:c>
      <x:c r="B6" s="5" t="str">
        <x:v>إنتاج محتوى واعتماده</x:v>
      </x:c>
      <x:c r="C6" s="5" t="str">
        <x:v>brief ← كتابة/تصميم ← تدقيق ← اعتماد داخلي ← عميل ← تعديلات ← اعتماد نسخة ← نشر/تسليم ← أرشفة</x:v>
      </x:c>
      <x:c r="D6" s="5" t="str">
        <x:v>الإبداع + الحسابات</x:v>
      </x:c>
      <x:c r="E6" s="5" t="str">
        <x:v>اعتماد مربوط بمعرف نسخة؛ عداد المراجعات والنطاق</x:v>
      </x:c>
      <x:c r="F6" s="5" t="str">
        <x:v>رفض / حقوق منتهية / تعديل بعد الاعتماد</x:v>
      </x:c>
    </x:row>
    <x:row r="7" ht="92" customHeight="1">
      <x:c r="A7" s="5" t="str">
        <x:v>WF03</x:v>
      </x:c>
      <x:c r="B7" s="5" t="str">
        <x:v>المؤثر من ترشيح إلى دفع</x:v>
      </x:c>
      <x:c r="C7" s="5" t="str">
        <x:v>تأهيل ← قائمة قصيرة ← تفاوض ← حقوق وعقد ← brief ← اعتماد محتوى ← نشر ← إثبات ← فاتورة ← دفع</x:v>
      </x:c>
      <x:c r="D7" s="5" t="str">
        <x:v>المؤثرون + المشتريات + المالية</x:v>
      </x:c>
      <x:c r="E7" s="5" t="str">
        <x:v>لا دفع قبل قبول المخرج وتحقق بيانات البنك</x:v>
      </x:c>
      <x:c r="F7" s="5" t="str">
        <x:v>حذف منشور / إلغاء / نشر مخالف / تأخر</x:v>
      </x:c>
    </x:row>
    <x:row r="8" ht="92" customHeight="1">
      <x:c r="A8" s="5" t="str">
        <x:v>WF04</x:v>
      </x:c>
      <x:c r="B8" s="5" t="str">
        <x:v>الشراء إلى الدفع</x:v>
      </x:c>
      <x:c r="C8" s="5" t="str">
        <x:v>طلب ← تحقق مخصص ← عروض ← ترسية ← أمر شراء ← استلام ← مطابقة فاتورة ← موافقة دفع ← إثبات بنك</x:v>
      </x:c>
      <x:c r="D8" s="5" t="str">
        <x:v>المشتريات + الطالب + المالية</x:v>
      </x:c>
      <x:c r="E8" s="5" t="str">
        <x:v>مطابقة ثلاثية وفصل صلاحيات</x:v>
      </x:c>
      <x:c r="F8" s="5" t="str">
        <x:v>شراء طارئ / استلام جزئي / اختلاف قيمة</x:v>
      </x:c>
    </x:row>
    <x:row r="9" ht="92" customHeight="1">
      <x:c r="A9" s="5" t="str">
        <x:v>WF05</x:v>
      </x:c>
      <x:c r="B9" s="5" t="str">
        <x:v>الحضور إلى مسير الراتب</x:v>
      </x:c>
      <x:c r="C9" s="5" t="str">
        <x:v>مصدر حضور ← تقويم وورديات ← استثناءات ← توضيح موظف ← اعتماد مدير ← مراجعة HR ← مدخل مسير</x:v>
      </x:c>
      <x:c r="D9" s="5" t="str">
        <x:v>HR + المدير + الرواتب</x:v>
      </x:c>
      <x:c r="E9" s="5" t="str">
        <x:v>نقص البصمة أو رد الموظف ليس خصمًا معتمدًا</x:v>
      </x:c>
      <x:c r="F9" s="5" t="str">
        <x:v>مهمة / إجازة / عمل ميداني / نسيان تسجيل</x:v>
      </x:c>
    </x:row>
    <x:row r="10" ht="92" customHeight="1">
      <x:c r="A10" s="5" t="str">
        <x:v>WF06</x:v>
      </x:c>
      <x:c r="B10" s="5" t="str">
        <x:v>الانضمام والنقل والمغادرة</x:v>
      </x:c>
      <x:c r="C10" s="5" t="str">
        <x:v>طلب معتمد ← عقد/تغيير ← تهيئة حساب وعهدة وصلاحيات ← تحقق جاهزية ← توثيق؛ عند المغادرة تسليم وإيقاف وصول وتسوية</x:v>
      </x:c>
      <x:c r="D10" s="5" t="str">
        <x:v>HR + التقنية + المالية + المدير</x:v>
      </x:c>
      <x:c r="E10" s="5" t="str">
        <x:v>ربط إجراء مؤرخ؛ إيقاف الوصول مستقل عن اكتمال المستحقات</x:v>
      </x:c>
      <x:c r="F10" s="5" t="str">
        <x:v>تأخر مباشرة / نقل مدير / مغادرة فورية</x:v>
      </x:c>
    </x:row>
    <x:row r="11" ht="92" customHeight="1">
      <x:c r="A11" s="5" t="str">
        <x:v>WF07</x:v>
      </x:c>
      <x:c r="B11" s="5" t="str">
        <x:v>التقييم السنوي</x:v>
      </x:c>
      <x:c r="C11" s="5" t="str">
        <x:v>أهداف وأوزان ← متابعة ← ذاتي ← مدير ← معايرة ← اعتماد ← إبلاغ ← تظلم ← تطوير</x:v>
      </x:c>
      <x:c r="D11" s="5" t="str">
        <x:v>HR + المديرون</x:v>
      </x:c>
      <x:c r="E11" s="5" t="str">
        <x:v>لا قرار ترقية/جزاء آلي من استبانة أو AI</x:v>
      </x:c>
      <x:c r="F11" s="5" t="str">
        <x:v>تغيير مدير / إجازة طويلة / قلة مدة التقييم</x:v>
      </x:c>
    </x:row>
    <x:row r="12" ht="92" customHeight="1">
      <x:c r="A12" s="5" t="str">
        <x:v>WF08</x:v>
      </x:c>
      <x:c r="B12" s="5" t="str">
        <x:v>صوت الموظف</x:v>
      </x:c>
      <x:c r="C12" s="5" t="str">
        <x:v>إرسال آمن ← رقم مرجعي ← فرز مخول ← تحديد تعارض ← معالجة وأدلة ← رد ← إغلاق أو استئناف</x:v>
      </x:c>
      <x:c r="D12" s="5" t="str">
        <x:v>مسؤول شكاوى مستقل</x:v>
      </x:c>
      <x:c r="E12" s="5" t="str">
        <x:v>الحد الأدنى من الهوية؛ لا يطلع طرف الشكوى على الملف تلقائيًا</x:v>
      </x:c>
      <x:c r="F12" s="5" t="str">
        <x:v>شكوى على المدير / خطر عاجل / طلب سرية</x:v>
      </x:c>
    </x:row>
    <x:row r="13" ht="92" customHeight="1">
      <x:c r="A13" s="5" t="str">
        <x:v>WF09</x:v>
      </x:c>
      <x:c r="B13" s="5" t="str">
        <x:v>الإطلاق والتغيير التقني</x:v>
      </x:c>
      <x:c r="C13" s="5" t="str">
        <x:v>طلب ← أثر ومخاطر ← فرع كود ← مراجعة واختبارات ← قبول أعمال ← نشر مضبوط ← مراقبة ← رجوع عند الحاجة</x:v>
      </x:c>
      <x:c r="D13" s="5" t="str">
        <x:v>مالك المنتج + التقنية + QA</x:v>
      </x:c>
      <x:c r="E13" s="5" t="str">
        <x:v>لا أسرار في الكود؛ لا إنتاج دون اختبار وسجل إصدار</x:v>
      </x:c>
      <x:c r="F13" s="5" t="str">
        <x:v>هجرة فاشلة / اختبار صلاحيات فاشل / تعطل خدمة</x:v>
      </x:c>
    </x:row>
    <x:row r="14" ht="92" customHeight="1">
      <x:c r="A14" s="5" t="str">
        <x:v>WF10</x:v>
      </x:c>
      <x:c r="B14" s="5" t="str">
        <x:v>التقرير التنفيذي المصدق</x:v>
      </x:c>
      <x:c r="C14" s="5" t="str">
        <x:v>مصادر موثقة ← تحقق جودة ← احتساب بالمؤشرات المعتمدة ← مراجعة مالك ← لقطة ← نشر مقيد ← متابعة قرارات</x:v>
      </x:c>
      <x:c r="D14" s="5" t="str">
        <x:v>مالك البيانات + الإدارة</x:v>
      </x:c>
      <x:c r="E14" s="5" t="str">
        <x:v>عدم توفر المصدر يظهر كغياب بيانات لا صفرًا</x:v>
      </x:c>
      <x:c r="F14" s="5" t="str">
        <x:v>تأخر مزامنة / تصحيح لاحق / مؤشرات متعارضة</x:v>
      </x:c>
    </x:row>
  </x:sheetData>
  <x:mergeCells>
    <x:mergeCell ref="A1:F1"/>
    <x:mergeCell ref="A2:F2"/>
  </x:mergeCells>
  <x:pageMargins left="0.7" right="0.7" top="0.75" bottom="0.75" header="0.3" footer="0.3"/>
  <x:tableParts count="1">
    <x:tablePart xmlns:r="http://schemas.openxmlformats.org/officeDocument/2006/relationships" r:id="Rc993a2d27b054dc0"/>
  </x:tableParts>
</x:worksheet>
</file>

<file path=xl/worksheets/sheet7.xml><?xml version="1.0" encoding="utf-8"?>
<x:worksheet xmlns:x="http://schemas.openxmlformats.org/spreadsheetml/2006/main">
  <x:sheetFormatPr defaultRowHeight="15"/>
  <x:cols>
    <x:col min="1" max="1" width="12" hidden="0" customWidth="1"/>
    <x:col min="2" max="2" width="27" hidden="0" customWidth="1"/>
    <x:col min="3" max="3" width="36" hidden="0" customWidth="1"/>
    <x:col min="4" max="4" width="29" hidden="0" customWidth="1"/>
    <x:col min="5" max="5" width="23" hidden="0" customWidth="1"/>
    <x:col min="6" max="6" width="36" hidden="0" customWidth="1"/>
    <x:col min="7" max="7" width="38" hidden="0" customWidth="1"/>
    <x:col min="8" max="8" width="40" hidden="0" customWidth="1"/>
  </x:cols>
  <x:sheetData>
    <x:row r="1" ht="39" customHeight="1">
      <x:c r="A1" s="11" t="str">
        <x:v>خريطة التكاملات ومصادر الحقيقة</x:v>
      </x:c>
      <x:c r="B1" s="11"/>
      <x:c r="C1" s="11"/>
      <x:c r="D1" s="11"/>
      <x:c r="E1" s="11"/>
      <x:c r="F1" s="11"/>
      <x:c r="G1" s="11"/>
      <x:c r="H1" s="11"/>
    </x:row>
    <x:row r="2" ht="34" customHeight="1">
      <x:c r="A2" s="14" t="str">
        <x:v>كل تكامل مقترح مشروط بتوفر API وصلاحيات وترخيص. أسماء SAP وOracle وJisr في الكود لا تثبت استخدامها في الشركة.</x:v>
      </x:c>
      <x:c r="B2" s="14"/>
      <x:c r="C2" s="14"/>
      <x:c r="D2" s="14"/>
      <x:c r="E2" s="14"/>
      <x:c r="F2" s="14"/>
      <x:c r="G2" s="14"/>
      <x:c r="H2" s="14"/>
    </x:row>
    <x:row r="3" ht="9" customHeight="1">
      <x:c r="A3" s="5"/>
      <x:c r="B3" s="5"/>
      <x:c r="C3" s="5"/>
      <x:c r="D3" s="5"/>
      <x:c r="E3" s="5"/>
      <x:c r="F3" s="5"/>
      <x:c r="G3" s="5"/>
      <x:c r="H3" s="5"/>
    </x:row>
    <x:row r="4" ht="32" customHeight="1">
      <x:c r="A4" s="17" t="str">
        <x:v>الرمز</x:v>
      </x:c>
      <x:c r="B4" s="17" t="str">
        <x:v>النظام / الخدمة</x:v>
      </x:c>
      <x:c r="C4" s="17" t="str">
        <x:v>البيانات</x:v>
      </x:c>
      <x:c r="D4" s="17" t="str">
        <x:v>الاتجاه</x:v>
      </x:c>
      <x:c r="E4" s="17" t="str">
        <x:v>المالك</x:v>
      </x:c>
      <x:c r="F4" s="17" t="str">
        <x:v>آلية الربط المقترحة</x:v>
      </x:c>
      <x:c r="G4" s="17" t="str">
        <x:v>معيار القبول</x:v>
      </x:c>
      <x:c r="H4" s="17" t="str">
        <x:v>القيد / ما لم يُتحقق</x:v>
      </x:c>
    </x:row>
    <x:row r="5" ht="93" customHeight="1">
      <x:c r="A5" s="5" t="str">
        <x:v>INT01</x:v>
      </x:c>
      <x:c r="B5" s="5" t="str">
        <x:v>الهوية المؤسسية</x:v>
      </x:c>
      <x:c r="C5" s="5" t="str">
        <x:v>حسابات ومجموعات وتفعيل وإيقاف</x:v>
      </x:c>
      <x:c r="D5" s="5" t="str">
        <x:v>مزود الهوية → النظام</x:v>
      </x:c>
      <x:c r="E5" s="5" t="str">
        <x:v>التقنية</x:v>
      </x:c>
      <x:c r="F5" s="5" t="str">
        <x:v>SSO وواجهات معتمدة إن توفرت</x:v>
      </x:c>
      <x:c r="G5" s="5" t="str">
        <x:v>إيقاف موظف ينعكس على الجلسات والوصول</x:v>
      </x:c>
      <x:c r="H5" s="5" t="str">
        <x:v>لا يفترض مزودًا قائمًا؛ يحدد أولًا</x:v>
      </x:c>
    </x:row>
    <x:row r="6" ht="93" customHeight="1">
      <x:c r="A6" s="5" t="str">
        <x:v>INT02</x:v>
      </x:c>
      <x:c r="B6" s="5" t="str">
        <x:v>Zoho People أو المرجع الوظيفي المعتمد</x:v>
      </x:c>
      <x:c r="C6" s="5" t="str">
        <x:v>الموظفون والحضور والإجازات حسب مالك كل حقل</x:v>
      </x:c>
      <x:c r="D6" s="5" t="str">
        <x:v>حسب ملكية الحقل؛ لا مزامنة دائرية</x:v>
      </x:c>
      <x:c r="E6" s="5" t="str">
        <x:v>HR</x:v>
      </x:c>
      <x:c r="F6" s="5" t="str">
        <x:v>API رسمي أو تصدير محكوم مؤقتًا</x:v>
      </x:c>
      <x:c r="G6" s="5" t="str">
        <x:v>مفاتيح ثابتة وسجل أخطاء ومطابقة أعداد</x:v>
      </x:c>
      <x:c r="H6" s="5" t="str">
        <x:v>استخدام Zoho ورد في سياق العمل؛ الاتصال الحي لم يثبت هنا</x:v>
      </x:c>
    </x:row>
    <x:row r="7" ht="93" customHeight="1">
      <x:c r="A7" s="5" t="str">
        <x:v>INT03</x:v>
      </x:c>
      <x:c r="B7" s="5" t="str">
        <x:v>المرجع المالي الفعلي</x:v>
      </x:c>
      <x:c r="C7" s="5" t="str">
        <x:v>دليل الحسابات والمراكز والفواتير والسداد</x:v>
      </x:c>
      <x:c r="D7" s="5" t="str">
        <x:v>المالية مرجع للترحيل الرسمي</x:v>
      </x:c>
      <x:c r="E7" s="5" t="str">
        <x:v>المالية</x:v>
      </x:c>
      <x:c r="F7" s="5" t="str">
        <x:v>واجهة موثقة / وسيط / ملفات مصدقة</x:v>
      </x:c>
      <x:c r="G7" s="5" t="str">
        <x:v>تطابق الأرصدة ومعرف المصدر وعدم التكرار</x:v>
      </x:c>
      <x:c r="H7" s="5" t="str">
        <x:v>SAP/Oracle في الكود تسميات وليست إثبات استخدام</x:v>
      </x:c>
    </x:row>
    <x:row r="8" ht="93" customHeight="1">
      <x:c r="A8" s="5" t="str">
        <x:v>INT04</x:v>
      </x:c>
      <x:c r="B8" s="5" t="str">
        <x:v>Asana أو مرجع المهام المعتمد</x:v>
      </x:c>
      <x:c r="C8" s="5" t="str">
        <x:v>مشاريع ومهام ومرفقات وروابط البريد</x:v>
      </x:c>
      <x:c r="D8" s="5" t="str">
        <x:v>تحدد ملكية الحالة قبل الربط</x:v>
      </x:c>
      <x:c r="E8" s="5" t="str">
        <x:v>PMO</x:v>
      </x:c>
      <x:c r="F8" s="5" t="str">
        <x:v>API/Webhooks حسب الصلاحية</x:v>
      </x:c>
      <x:c r="G8" s="5" t="str">
        <x:v>حدث مكرر لا ينشئ مهمة ثانية</x:v>
      </x:c>
      <x:c r="H8" s="5" t="str">
        <x:v>البدء بتكامل أو إحلال تدريجي لا دفترين متنافسين</x:v>
      </x:c>
    </x:row>
    <x:row r="9" ht="93" customHeight="1">
      <x:c r="A9" s="5" t="str">
        <x:v>INT05</x:v>
      </x:c>
      <x:c r="B9" s="5" t="str">
        <x:v>Gmail والتقويم</x:v>
      </x:c>
      <x:c r="C9" s="5" t="str">
        <x:v>طلبات ومراسلات ومواعيد ومسودات</x:v>
      </x:c>
      <x:c r="D9" s="5" t="str">
        <x:v>قراءة الحد اللازم؛ إرسال بعد اعتماد</x:v>
      </x:c>
      <x:c r="E9" s="5" t="str">
        <x:v>مالك صندوق البريد</x:v>
      </x:c>
      <x:c r="F9" s="5" t="str">
        <x:v>OAuth محدود النطاق</x:v>
      </x:c>
      <x:c r="G9" s="5" t="str">
        <x:v>مسودة على التسلسل الصحيح بلا إرسال ذاتي</x:v>
      </x:c>
      <x:c r="H9" s="5" t="str">
        <x:v>تأكيد المستلمين والمرفقات قبل الأفعال الخارجية</x:v>
      </x:c>
    </x:row>
    <x:row r="10" ht="93" customHeight="1">
      <x:c r="A10" s="5" t="str">
        <x:v>INT06</x:v>
      </x:c>
      <x:c r="B10" s="5" t="str">
        <x:v>Google Drive أو مستودع الوثائق</x:v>
      </x:c>
      <x:c r="C10" s="5" t="str">
        <x:v>وثائق وأصول وروابط وإصدارات</x:v>
      </x:c>
      <x:c r="D10" s="5" t="str">
        <x:v>المستودع مرجع الملف؛ النظام مرجع السياق</x:v>
      </x:c>
      <x:c r="E10" s="5" t="str">
        <x:v>التقنية / ملاك الوثائق</x:v>
      </x:c>
      <x:c r="F10" s="5" t="str">
        <x:v>API مع ACL ومراقبة الروابط</x:v>
      </x:c>
      <x:c r="G10" s="5" t="str">
        <x:v>الرابط لا يتجاوز صلاحيات المستودع أو النظام</x:v>
      </x:c>
      <x:c r="H10" s="5" t="str">
        <x:v>لا تنسخ جميع الملفات الحساسة بلا حاجة</x:v>
      </x:c>
    </x:row>
    <x:row r="11" ht="93" customHeight="1">
      <x:c r="A11" s="5" t="str">
        <x:v>INT07</x:v>
      </x:c>
      <x:c r="B11" s="5" t="str">
        <x:v>قنوات الإعلان والتحليلات</x:v>
      </x:c>
      <x:c r="C11" s="5" t="str">
        <x:v>ميزانيات ونتائج حملات وإثباتات</x:v>
      </x:c>
      <x:c r="D11" s="5" t="str">
        <x:v>المنصة الإعلانية → التحليلات أولًا</x:v>
      </x:c>
      <x:c r="E11" s="5" t="str">
        <x:v>التسويق الرقمي</x:v>
      </x:c>
      <x:c r="F11" s="5" t="str">
        <x:v>واجهات رسمية حسب الملكية والحدود</x:v>
      </x:c>
      <x:c r="G11" s="5" t="str">
        <x:v>مطابقة فترة وعملة ومقياس ومصدر</x:v>
      </x:c>
      <x:c r="H11" s="5" t="str">
        <x:v>لا نشر أو زيادة إنفاق دون موافقات</x:v>
      </x:c>
    </x:row>
    <x:row r="12" ht="93" customHeight="1">
      <x:c r="A12" s="5" t="str">
        <x:v>INT08</x:v>
      </x:c>
      <x:c r="B12" s="5" t="str">
        <x:v>الفوترة الإلكترونية</x:v>
      </x:c>
      <x:c r="C12" s="5" t="str">
        <x:v>XML ومعرفات واستجابات وأخطاء</x:v>
      </x:c>
      <x:c r="D12" s="5" t="str">
        <x:v>النظام المالي ↔ المزود/الهيئة</x:v>
      </x:c>
      <x:c r="E12" s="5" t="str">
        <x:v>المالية</x:v>
      </x:c>
      <x:c r="F12" s="5" t="str">
        <x:v>ربط مطابق واختبار تهيئة وبيئة</x:v>
      </x:c>
      <x:c r="G12" s="5" t="str">
        <x:v>حالة قبول رسمية مستندة إلى رد محفوظ</x:v>
      </x:c>
      <x:c r="H12" s="5" t="str">
        <x:v>الوحدة المقروءة محاكاة؛ ليست ربطًا حيًا</x:v>
      </x:c>
    </x:row>
    <x:row r="13" ht="93" customHeight="1">
      <x:c r="A13" s="5" t="str">
        <x:v>INT09</x:v>
      </x:c>
      <x:c r="B13" s="5" t="str">
        <x:v>البنك وحماية الأجور</x:v>
      </x:c>
      <x:c r="C13" s="5" t="str">
        <x:v>ملف دفع وإشعار تنفيذ وتسويات</x:v>
      </x:c>
      <x:c r="D13" s="5" t="str">
        <x:v>مسير معتمد → جهة رسمية؛ استجابة ← النظام</x:v>
      </x:c>
      <x:c r="E13" s="5" t="str">
        <x:v>المالية / الرواتب</x:v>
      </x:c>
      <x:c r="F13" s="5" t="str">
        <x:v>الصيغة والقناة المعتمدتان</x:v>
      </x:c>
      <x:c r="G13" s="5" t="str">
        <x:v>الاعتماد والرفع والقبول والدفع حالات منفصلة</x:v>
      </x:c>
      <x:c r="H13" s="5" t="str">
        <x:v>لا يفترض توفر API لجميع الجهات</x:v>
      </x:c>
    </x:row>
    <x:row r="14" ht="93" customHeight="1">
      <x:c r="A14" s="5" t="str">
        <x:v>INT10</x:v>
      </x:c>
      <x:c r="B14" s="5" t="str">
        <x:v>قوى والتأمينات ومقيم ومدد</x:v>
      </x:c>
      <x:c r="C14" s="5" t="str">
        <x:v>معاملات نظامية ووثائق إثبات</x:v>
      </x:c>
      <x:c r="D14" s="5" t="str">
        <x:v>تنسيق معاملات وتوثيق حالة</x:v>
      </x:c>
      <x:c r="E14" s="5" t="str">
        <x:v>HR / العلاقات الحكومية</x:v>
      </x:c>
      <x:c r="F14" s="5" t="str">
        <x:v>تكامل رسمي إن توفر وإلا مهمة تحقق</x:v>
      </x:c>
      <x:c r="G14" s="5" t="str">
        <x:v>لا تكتمل المعاملة بلا مرجع نتيجة رسمي</x:v>
      </x:c>
      <x:c r="H14" s="5" t="str">
        <x:v>لا أتمتة تتجاوز التحقق أو المصادقة المطلوبة</x:v>
      </x:c>
    </x:row>
    <x:row r="15" ht="93" customHeight="1">
      <x:c r="A15" s="5" t="str">
        <x:v>INT11</x:v>
      </x:c>
      <x:c r="B15" s="5" t="str">
        <x:v>بوابة الذكاء الاصطناعي</x:v>
      </x:c>
      <x:c r="C15" s="5" t="str">
        <x:v>أسئلة ومصادر ومسودات وأدوات محدودة</x:v>
      </x:c>
      <x:c r="D15" s="5" t="str">
        <x:v>استرجاع مقيد؛ تنفيذ بشري معتمد</x:v>
      </x:c>
      <x:c r="E15" s="5" t="str">
        <x:v>مالك البيانات / الأمن</x:v>
      </x:c>
      <x:c r="F15" s="5" t="str">
        <x:v>بوابة داخلية وسياسات أدوات</x:v>
      </x:c>
      <x:c r="G15" s="5" t="str">
        <x:v>اختبارات تسريب وحقن تعليمات ومراجعة بشرية</x:v>
      </x:c>
      <x:c r="H15" s="5" t="str">
        <x:v>لا إرسال ملفات رواتب أو شكاوى لمزود غير معتمد</x:v>
      </x:c>
    </x:row>
  </x:sheetData>
  <x:mergeCells>
    <x:mergeCell ref="A1:H1"/>
    <x:mergeCell ref="A2:H2"/>
  </x:mergeCells>
  <x:pageMargins left="0.7" right="0.7" top="0.75" bottom="0.75" header="0.3" footer="0.3"/>
  <x:tableParts count="1">
    <x:tablePart xmlns:r="http://schemas.openxmlformats.org/officeDocument/2006/relationships" r:id="R7ebecc44b3ef470e"/>
  </x:tableParts>
</x:worksheet>
</file>

<file path=xl/worksheets/sheet8.xml><?xml version="1.0" encoding="utf-8"?>
<x:worksheet xmlns:x="http://schemas.openxmlformats.org/spreadsheetml/2006/main">
  <x:sheetFormatPr defaultRowHeight="15"/>
  <x:cols>
    <x:col min="1" max="1" width="27" hidden="0" customWidth="1"/>
    <x:col min="2" max="2" width="30" hidden="0" customWidth="1"/>
    <x:col min="3" max="3" width="32" hidden="0" customWidth="1"/>
    <x:col min="4" max="4" width="29" hidden="0" customWidth="1"/>
    <x:col min="5" max="5" width="29" hidden="0" customWidth="1"/>
    <x:col min="6" max="6" width="33" hidden="0" customWidth="1"/>
    <x:col min="7" max="7" width="32" hidden="0" customWidth="1"/>
    <x:col min="8" max="8" width="36" hidden="0" customWidth="1"/>
  </x:cols>
  <x:sheetData>
    <x:row r="1" ht="39" customHeight="1">
      <x:c r="A1" s="11" t="str">
        <x:v>مصفوفة صلاحيات استرشادية</x:v>
      </x:c>
      <x:c r="B1" s="11"/>
      <x:c r="C1" s="11"/>
      <x:c r="D1" s="11"/>
      <x:c r="E1" s="11"/>
      <x:c r="F1" s="11"/>
      <x:c r="G1" s="11"/>
      <x:c r="H1" s="11"/>
    </x:row>
    <x:row r="2" ht="34" customHeight="1">
      <x:c r="A2" s="14" t="str">
        <x:v>فصل صلاحية الشاشة عن الصف والحقل والفعل. صاحب الطلب لا يعتمد طلبه، وتقنية التشغيل لا تمنح حقًا افتراضيًا للاطلاع على الرواتب.</x:v>
      </x:c>
      <x:c r="B2" s="14"/>
      <x:c r="C2" s="14"/>
      <x:c r="D2" s="14"/>
      <x:c r="E2" s="14"/>
      <x:c r="F2" s="14"/>
      <x:c r="G2" s="14"/>
      <x:c r="H2" s="14"/>
    </x:row>
    <x:row r="3" ht="9" customHeight="1">
      <x:c r="A3" s="5"/>
      <x:c r="B3" s="5"/>
      <x:c r="C3" s="5"/>
      <x:c r="D3" s="5"/>
      <x:c r="E3" s="5"/>
      <x:c r="F3" s="5"/>
      <x:c r="G3" s="5"/>
      <x:c r="H3" s="5"/>
    </x:row>
    <x:row r="4" ht="32" customHeight="1">
      <x:c r="A4" s="17" t="str">
        <x:v>الدور</x:v>
      </x:c>
      <x:c r="B4" s="17" t="str">
        <x:v>بيانات الموظفين</x:v>
      </x:c>
      <x:c r="C4" s="17" t="str">
        <x:v>العمل والمشاريع</x:v>
      </x:c>
      <x:c r="D4" s="17" t="str">
        <x:v>المالية</x:v>
      </x:c>
      <x:c r="E4" s="17" t="str">
        <x:v>الرواتب</x:v>
      </x:c>
      <x:c r="F4" s="17" t="str">
        <x:v>الشكاوى</x:v>
      </x:c>
      <x:c r="G4" s="17" t="str">
        <x:v>إدارة المنصة</x:v>
      </x:c>
      <x:c r="H4" s="17" t="str">
        <x:v>الضابط</x:v>
      </x:c>
    </x:row>
    <x:row r="5" ht="77" customHeight="1">
      <x:c r="A5" s="5" t="str">
        <x:v>الموظف</x:v>
      </x:c>
      <x:c r="B5" s="5" t="str">
        <x:v>بياناته وطلباته</x:v>
      </x:c>
      <x:c r="C5" s="5" t="str">
        <x:v>مشاريعه ومهامه</x:v>
      </x:c>
      <x:c r="D5" s="5" t="str">
        <x:v>لا وصول لميزانيات حساسة</x:v>
      </x:c>
      <x:c r="E5" s="5" t="str">
        <x:v>لا رواتب غيره</x:v>
      </x:c>
      <x:c r="F5" s="5" t="str">
        <x:v>بلاغه عبر قناة آمنة</x:v>
      </x:c>
      <x:c r="G5" s="5" t="str">
        <x:v>لا صلاحية إدارة</x:v>
      </x:c>
      <x:c r="H5" s="5" t="str">
        <x:v>الأصل الرفض خارج النطاق</x:v>
      </x:c>
    </x:row>
    <x:row r="6" ht="77" customHeight="1">
      <x:c r="A6" s="5" t="str">
        <x:v>المدير المباشر</x:v>
      </x:c>
      <x:c r="B6" s="5" t="str">
        <x:v>فريقه حسب الحاجة</x:v>
      </x:c>
      <x:c r="C6" s="5" t="str">
        <x:v>موارد فريقه ومشاريعه</x:v>
      </x:c>
      <x:c r="D6" s="5" t="str">
        <x:v>مخصص إدارته إن فوض</x:v>
      </x:c>
      <x:c r="E6" s="5" t="str">
        <x:v>ليس جميع رواتب الشركة</x:v>
      </x:c>
      <x:c r="F6" s="5" t="str">
        <x:v>لا يطلع على شكوى ضده تلقائيًا</x:v>
      </x:c>
      <x:c r="G6" s="5" t="str">
        <x:v>اعتماد ضمن تفويض</x:v>
      </x:c>
      <x:c r="H6" s="5" t="str">
        <x:v>علاقة المدير مؤرخة</x:v>
      </x:c>
    </x:row>
    <x:row r="7" ht="77" customHeight="1">
      <x:c r="A7" s="5" t="str">
        <x:v>مدير المشروع</x:v>
      </x:c>
      <x:c r="B7" s="5" t="str">
        <x:v>البيانات المهنية للفريق</x:v>
      </x:c>
      <x:c r="C7" s="5" t="str">
        <x:v>مشروعه ومخرجاته وساعاته</x:v>
      </x:c>
      <x:c r="D7" s="5" t="str">
        <x:v>ميزانية المشروع وفق تفويض</x:v>
      </x:c>
      <x:c r="E7" s="5" t="str">
        <x:v>تكلفة معيارية دون كشف الرواتب</x:v>
      </x:c>
      <x:c r="F7" s="5" t="str">
        <x:v>لا</x:v>
      </x:c>
      <x:c r="G7" s="5" t="str">
        <x:v>لا تغيير أدوار</x:v>
      </x:c>
      <x:c r="H7" s="5" t="str">
        <x:v>عضوية مشروع وليس اسم مدير نصي</x:v>
      </x:c>
    </x:row>
    <x:row r="8" ht="77" customHeight="1">
      <x:c r="A8" s="5" t="str">
        <x:v>مدير الحساب</x:v>
      </x:c>
      <x:c r="B8" s="5" t="str">
        <x:v>اتصالات العميل اللازمة</x:v>
      </x:c>
      <x:c r="C8" s="5" t="str">
        <x:v>حساباته ومشاريعه</x:v>
      </x:c>
      <x:c r="D8" s="5" t="str">
        <x:v>هامش/تحصيل حسابه حسب السياسة</x:v>
      </x:c>
      <x:c r="E8" s="5" t="str">
        <x:v>لا</x:v>
      </x:c>
      <x:c r="F8" s="5" t="str">
        <x:v>لا</x:v>
      </x:c>
      <x:c r="G8" s="5" t="str">
        <x:v>دعوة العميل ضمن حدود</x:v>
      </x:c>
      <x:c r="H8" s="5" t="str">
        <x:v>لا عميل آخر</x:v>
      </x:c>
    </x:row>
    <x:row r="9" ht="77" customHeight="1">
      <x:c r="A9" s="5" t="str">
        <x:v>رأس المال البشري</x:v>
      </x:c>
      <x:c r="B9" s="5" t="str">
        <x:v>ملف وظيفي وفق اختصاص</x:v>
      </x:c>
      <x:c r="C9" s="5" t="str">
        <x:v>احتياجات وتخصيص موارد</x:v>
      </x:c>
      <x:c r="D9" s="5" t="str">
        <x:v>ميزانية HR</x:v>
      </x:c>
      <x:c r="E9" s="5" t="str">
        <x:v>وفق دور الرواتب المعتمد</x:v>
      </x:c>
      <x:c r="F9" s="5" t="str">
        <x:v>قضايا مكلف بها فقط</x:v>
      </x:c>
      <x:c r="G9" s="5" t="str">
        <x:v>لا إدارة تقنية تلقائية</x:v>
      </x:c>
      <x:c r="H9" s="5" t="str">
        <x:v>فصل القضايا الحساسة عن الملف العام</x:v>
      </x:c>
    </x:row>
    <x:row r="10" ht="77" customHeight="1">
      <x:c r="A10" s="5" t="str">
        <x:v>معد الرواتب</x:v>
      </x:c>
      <x:c r="B10" s="5" t="str">
        <x:v>مدخلات الرواتب المطلوبة</x:v>
      </x:c>
      <x:c r="C10" s="5" t="str">
        <x:v>تكاليف مخصصة</x:v>
      </x:c>
      <x:c r="D10" s="5" t="str">
        <x:v>مسيرات مسودة</x:v>
      </x:c>
      <x:c r="E10" s="5" t="str">
        <x:v>إعداد ومراجعة أولية</x:v>
      </x:c>
      <x:c r="F10" s="5" t="str">
        <x:v>لا</x:v>
      </x:c>
      <x:c r="G10" s="5" t="str">
        <x:v>لا اعتماد نهائي لنفسه</x:v>
      </x:c>
      <x:c r="H10" s="5" t="str">
        <x:v>لا تعديل مسير مقفل</x:v>
      </x:c>
    </x:row>
    <x:row r="11" ht="77" customHeight="1">
      <x:c r="A11" s="5" t="str">
        <x:v>معتمد الرواتب / المالية</x:v>
      </x:c>
      <x:c r="B11" s="5" t="str">
        <x:v>بيانات دفع لازمة</x:v>
      </x:c>
      <x:c r="C11" s="5" t="str">
        <x:v>تكاليف معتمدة</x:v>
      </x:c>
      <x:c r="D11" s="5" t="str">
        <x:v>اعتماد مالي وفق تفويض</x:v>
      </x:c>
      <x:c r="E11" s="5" t="str">
        <x:v>اعتماد لا إعداد ذاتي</x:v>
      </x:c>
      <x:c r="F11" s="5" t="str">
        <x:v>لا</x:v>
      </x:c>
      <x:c r="G11" s="5" t="str">
        <x:v>لا إدارة أدوار عامة</x:v>
      </x:c>
      <x:c r="H11" s="5" t="str">
        <x:v>فصل التنفيذ البنكي</x:v>
      </x:c>
    </x:row>
    <x:row r="12" ht="77" customHeight="1">
      <x:c r="A12" s="5" t="str">
        <x:v>المشتريات</x:v>
      </x:c>
      <x:c r="B12" s="5" t="str">
        <x:v>حد أدنى لطلبات موظفين</x:v>
      </x:c>
      <x:c r="C12" s="5" t="str">
        <x:v>مشتريات مشروعاته</x:v>
      </x:c>
      <x:c r="D12" s="5" t="str">
        <x:v>عروض وأوامر ضمن النطاق</x:v>
      </x:c>
      <x:c r="E12" s="5" t="str">
        <x:v>لا</x:v>
      </x:c>
      <x:c r="F12" s="5" t="str">
        <x:v>لا</x:v>
      </x:c>
      <x:c r="G12" s="5" t="str">
        <x:v>تأهيل مورد دون تنفيذ دفع منفرد</x:v>
      </x:c>
      <x:c r="H12" s="5" t="str">
        <x:v>فصل طالب ومستلم ومعتمد</x:v>
      </x:c>
    </x:row>
    <x:row r="13" ht="77" customHeight="1">
      <x:c r="A13" s="5" t="str">
        <x:v>القانونية / الحوكمة</x:v>
      </x:c>
      <x:c r="B13" s="5" t="str">
        <x:v>قضايا ضمن تكليف</x:v>
      </x:c>
      <x:c r="C13" s="5" t="str">
        <x:v>عقود ومخاطر محددة</x:v>
      </x:c>
      <x:c r="D13" s="5" t="str">
        <x:v>تدقيق حسب المهمة</x:v>
      </x:c>
      <x:c r="E13" s="5" t="str">
        <x:v>فقط إن كان لازمًا ومفوضًا</x:v>
      </x:c>
      <x:c r="F13" s="5" t="str">
        <x:v>ملفات مكلف بها</x:v>
      </x:c>
      <x:c r="G13" s="5" t="str">
        <x:v>تدقيق لا تغيير معاملات</x:v>
      </x:c>
      <x:c r="H13" s="5" t="str">
        <x:v>وصول مؤقت موثق عند الحاجة</x:v>
      </x:c>
    </x:row>
    <x:row r="14" ht="77" customHeight="1">
      <x:c r="A14" s="5" t="str">
        <x:v>مسؤول التقنية</x:v>
      </x:c>
      <x:c r="B14" s="5" t="str">
        <x:v>معرفات فنية لا المحتوى افتراضيًا</x:v>
      </x:c>
      <x:c r="C14" s="5" t="str">
        <x:v>تشغيل المنصة</x:v>
      </x:c>
      <x:c r="D14" s="5" t="str">
        <x:v>لا صلاحية أعمال افتراضية</x:v>
      </x:c>
      <x:c r="E14" s="5" t="str">
        <x:v>لا</x:v>
      </x:c>
      <x:c r="F14" s="5" t="str">
        <x:v>لا</x:v>
      </x:c>
      <x:c r="G14" s="5" t="str">
        <x:v>إدارة البنية والدعم</x:v>
      </x:c>
      <x:c r="H14" s="5" t="str">
        <x:v>وصول استثنائي محدود ومراقب</x:v>
      </x:c>
    </x:row>
    <x:row r="15" ht="77" customHeight="1">
      <x:c r="A15" s="5" t="str">
        <x:v>العميل الخارجي</x:v>
      </x:c>
      <x:c r="B15" s="5" t="str">
        <x:v>لا</x:v>
      </x:c>
      <x:c r="C15" s="5" t="str">
        <x:v>مخرجات حسابه المصرح بها</x:v>
      </x:c>
      <x:c r="D15" s="5" t="str">
        <x:v>فواتيره فقط إن أتيحت</x:v>
      </x:c>
      <x:c r="E15" s="5" t="str">
        <x:v>لا</x:v>
      </x:c>
      <x:c r="F15" s="5" t="str">
        <x:v>لا</x:v>
      </x:c>
      <x:c r="G15" s="5" t="str">
        <x:v>تعليق/اعتماد نسخة مفوضة</x:v>
      </x:c>
      <x:c r="H15" s="5" t="str">
        <x:v>عزل كيان العميل وتحديد مدة الدعوة</x:v>
      </x:c>
    </x:row>
    <x:row r="16" ht="77" customHeight="1">
      <x:c r="A16" s="5" t="str">
        <x:v>المورد / المستقل</x:v>
      </x:c>
      <x:c r="B16" s="5" t="str">
        <x:v>بياناته التعاقدية</x:v>
      </x:c>
      <x:c r="C16" s="5" t="str">
        <x:v>مهامه أو أوامره المحددة</x:v>
      </x:c>
      <x:c r="D16" s="5" t="str">
        <x:v>عروضه وفواتيره فقط</x:v>
      </x:c>
      <x:c r="E16" s="5" t="str">
        <x:v>لا</x:v>
      </x:c>
      <x:c r="F16" s="5" t="str">
        <x:v>لا</x:v>
      </x:c>
      <x:c r="G16" s="5" t="str">
        <x:v>رفع أدلة تنفيذ فقط</x:v>
      </x:c>
      <x:c r="H16" s="5" t="str">
        <x:v>لا كشف أسعار منافسين أو هوامش الشركة</x:v>
      </x:c>
    </x:row>
  </x:sheetData>
  <x:mergeCells>
    <x:mergeCell ref="A1:H1"/>
    <x:mergeCell ref="A2:H2"/>
  </x:mergeCells>
  <x:pageMargins left="0.7" right="0.7" top="0.75" bottom="0.75" header="0.3" footer="0.3"/>
  <x:tableParts count="1">
    <x:tablePart xmlns:r="http://schemas.openxmlformats.org/officeDocument/2006/relationships" r:id="Rd60daf2af52e4e5b"/>
  </x:tableParts>
</x:worksheet>
</file>

<file path=xl/worksheets/sheet9.xml><?xml version="1.0" encoding="utf-8"?>
<x:worksheet xmlns:x="http://schemas.openxmlformats.org/spreadsheetml/2006/main">
  <x:sheetFormatPr defaultRowHeight="15"/>
  <x:cols>
    <x:col min="1" max="1" width="12" hidden="0" customWidth="1"/>
    <x:col min="2" max="2" width="26" hidden="0" customWidth="1"/>
    <x:col min="3" max="3" width="35" hidden="0" customWidth="1"/>
    <x:col min="4" max="4" width="40" hidden="0" customWidth="1"/>
    <x:col min="5" max="5" width="36" hidden="0" customWidth="1"/>
    <x:col min="6" max="6" width="40" hidden="0" customWidth="1"/>
    <x:col min="7" max="7" width="24" hidden="0" customWidth="1"/>
    <x:col min="8" max="8" width="38" hidden="0" customWidth="1"/>
  </x:cols>
  <x:sheetData>
    <x:row r="1" ht="39" customHeight="1">
      <x:c r="A1" s="11" t="str">
        <x:v>خارطة تنفيذ مشروطة ببوابات قبول</x:v>
      </x:c>
      <x:c r="B1" s="11"/>
      <x:c r="C1" s="11"/>
      <x:c r="D1" s="11"/>
      <x:c r="E1" s="11"/>
      <x:c r="F1" s="11"/>
      <x:c r="G1" s="11"/>
      <x:c r="H1" s="11"/>
    </x:row>
    <x:row r="2" ht="34" customHeight="1">
      <x:c r="A2" s="14" t="str">
        <x:v>الفترات تقديرات تخطيطية وليست التزامًا. لا ينتقل العمل إلى مرحلة حساسة بمجرد اكتمال الواجهة.</x:v>
      </x:c>
      <x:c r="B2" s="14"/>
      <x:c r="C2" s="14"/>
      <x:c r="D2" s="14"/>
      <x:c r="E2" s="14"/>
      <x:c r="F2" s="14"/>
      <x:c r="G2" s="14"/>
      <x:c r="H2" s="14"/>
    </x:row>
    <x:row r="3" ht="9" customHeight="1">
      <x:c r="A3" s="5"/>
      <x:c r="B3" s="5"/>
      <x:c r="C3" s="5"/>
      <x:c r="D3" s="5"/>
      <x:c r="E3" s="5"/>
      <x:c r="F3" s="5"/>
      <x:c r="G3" s="5"/>
      <x:c r="H3" s="5"/>
    </x:row>
    <x:row r="4" ht="32" customHeight="1">
      <x:c r="A4" s="17" t="str">
        <x:v>المرحلة</x:v>
      </x:c>
      <x:c r="B4" s="17" t="str">
        <x:v>الاسم</x:v>
      </x:c>
      <x:c r="C4" s="17" t="str">
        <x:v>تقدير المدة</x:v>
      </x:c>
      <x:c r="D4" s="17" t="str">
        <x:v>النطاق</x:v>
      </x:c>
      <x:c r="E4" s="17" t="str">
        <x:v>الفريق / المالك</x:v>
      </x:c>
      <x:c r="F4" s="17" t="str">
        <x:v>بوابة القبول</x:v>
      </x:c>
      <x:c r="G4" s="17" t="str">
        <x:v>الأولوية</x:v>
      </x:c>
      <x:c r="H4" s="17" t="str">
        <x:v>القيد</x:v>
      </x:c>
    </x:row>
    <x:row r="5" ht="95" customHeight="1">
      <x:c r="A5" s="5" t="str">
        <x:v>0</x:v>
      </x:c>
      <x:c r="B5" s="5" t="str">
        <x:v>المعالجة العاجلة</x:v>
      </x:c>
      <x:c r="C5" s="5" t="str">
        <x:v>أسبوعان إلى 4 أسابيع كتقدير تخطيطي</x:v>
      </x:c>
      <x:c r="D5" s="5" t="str">
        <x:v>الأسرار؛ وسم المحاكاة؛ تصدير المعتمد؛ سياسة الوصول؛ حصر الملاك</x:v>
      </x:c>
      <x:c r="E5" s="5" t="str">
        <x:v>راعي تنفيذي + تقنية + HR + مالية</x:v>
      </x:c>
      <x:c r="F5" s="5" t="str">
        <x:v>إغلاق P0 قبل استخدام معاملات حساسة</x:v>
      </x:c>
      <x:c r="G5" s="5" t="str">
        <x:v>F01/F02 ثم أهم P1</x:v>
      </x:c>
      <x:c r="H5" s="5" t="str">
        <x:v>لا اعتماد زمني قبل تحديد الفريق والوصول</x:v>
      </x:c>
    </x:row>
    <x:row r="6" ht="95" customHeight="1">
      <x:c r="A6" s="5" t="str">
        <x:v>1</x:v>
      </x:c>
      <x:c r="B6" s="5" t="str">
        <x:v>الأساس والنسخة التجريبية</x:v>
      </x:c>
      <x:c r="C6" s="5" t="str">
        <x:v>4 إلى 6 أسابيع بعد حسم المتطلبات</x:v>
      </x:c>
      <x:c r="D6" s="5" t="str">
        <x:v>هوية وبيانات مرجعية وطلبات وموافقات وتدقيق؛ رحلة موظف ومشروع تجريبي</x:v>
      </x:c>
      <x:c r="E6" s="5" t="str">
        <x:v>مالك منتج + محلل أعمال + مطورون + QA</x:v>
      </x:c>
      <x:c r="F6" s="5" t="str">
        <x:v>اختبارات عزل وعمليات أساسية وتوقيع ملاك الإجراء</x:v>
      </x:c>
      <x:c r="G6" s="5" t="str">
        <x:v>PLT/HR/IT/NFR</x:v>
      </x:c>
      <x:c r="H6" s="5" t="str">
        <x:v>التداخل الممكن لا يلغي الاعتماديات</x:v>
      </x:c>
    </x:row>
    <x:row r="7" ht="95" customHeight="1">
      <x:c r="A7" s="5" t="str">
        <x:v>2</x:v>
      </x:c>
      <x:c r="B7" s="5" t="str">
        <x:v>التشغيل التجاري</x:v>
      </x:c>
      <x:c r="C7" s="5" t="str">
        <x:v>6 إلى 10 أسابيع بعد الأساس</x:v>
      </x:c>
      <x:c r="D7" s="5" t="str">
        <x:v>فرص وعروض وعقود ومشاريع وموارد وشراء وقبول عميل وتحليلات هامش</x:v>
      </x:c>
      <x:c r="E7" s="5" t="str">
        <x:v>PMO + حسابات + مشتريات + مالية</x:v>
      </x:c>
      <x:c r="F7" s="5" t="str">
        <x:v>مشروع فعلي محدود من التكليف إلى التحصيل مع مطابقة</x:v>
      </x:c>
      <x:c r="G7" s="5" t="str">
        <x:v>CRM/ACC/PMO/PRC</x:v>
      </x:c>
      <x:c r="H7" s="5" t="str">
        <x:v>ابدأ بعينة محدودة لا كل المشاريع</x:v>
      </x:c>
    </x:row>
    <x:row r="8" ht="95" customHeight="1">
      <x:c r="A8" s="5" t="str">
        <x:v>3</x:v>
      </x:c>
      <x:c r="B8" s="5" t="str">
        <x:v>التخصصات والضبط المالي</x:v>
      </x:c>
      <x:c r="C8" s="5" t="str">
        <x:v>8 إلى 12 أسبوعًا حسب العمق</x:v>
      </x:c>
      <x:c r="D8" s="5" t="str">
        <x:v>الإبداع والإنتاج والرقمي وPR والمؤثرون؛ تكامل مالي ورواتب دون إحلال مبكر</x:v>
      </x:c>
      <x:c r="E8" s="5" t="str">
        <x:v>ملاك الخدمات + المالية + HR</x:v>
      </x:c>
      <x:c r="F8" s="5" t="str">
        <x:v>اختبارات تخصصية ومطابقة دورات مالية ورواتب</x:v>
      </x:c>
      <x:c r="G8" s="5" t="str">
        <x:v>CRT/DIG/PR/INF/PRO/PAY/FIN</x:v>
      </x:c>
      <x:c r="H8" s="5" t="str">
        <x:v>أولوية الإحلال تخضع لجدوى ومخاطر مستقلة</x:v>
      </x:c>
    </x:row>
    <x:row r="9" ht="95" customHeight="1">
      <x:c r="A9" s="5" t="str">
        <x:v>4</x:v>
      </x:c>
      <x:c r="B9" s="5" t="str">
        <x:v>التوسع والتحسين</x:v>
      </x:c>
      <x:c r="C9" s="5" t="str">
        <x:v>موجات شهرية بعد ثبات التشغيل</x:v>
      </x:c>
      <x:c r="D9" s="5" t="str">
        <x:v>المواهب والتواصل والمرافق والبحث والذكاء الاصطناعي والتوسع والتحسين</x:v>
      </x:c>
      <x:c r="E9" s="5" t="str">
        <x:v>مالك منتج + كل الإدارات</x:v>
      </x:c>
      <x:c r="F9" s="5" t="str">
        <x:v>قياس تبني وعائد وتخفيض إعادة إدخال دون خفض الأمان</x:v>
      </x:c>
      <x:c r="G9" s="5" t="str">
        <x:v>TAL/EXP/ADM/DAT/STR</x:v>
      </x:c>
      <x:c r="H9" s="5" t="str">
        <x:v>الانتقال حسب البوابة لا التاريخ فقط</x:v>
      </x:c>
    </x:row>
  </x:sheetData>
  <x:mergeCells>
    <x:mergeCell ref="A1:H1"/>
    <x:mergeCell ref="A2:H2"/>
  </x:mergeCells>
  <x:pageMargins left="0.7" right="0.7" top="0.75" bottom="0.75" header="0.3" footer="0.3"/>
  <x:tableParts count="1">
    <x:tablePart xmlns:r="http://schemas.openxmlformats.org/officeDocument/2006/relationships" r:id="R7cfcdf60984b44c7"/>
  </x:tableParts>
</x:worksheet>
</file>

<file path=xl/worksheets/sheet10.xml><?xml version="1.0" encoding="utf-8"?>
<x:worksheet xmlns:x="http://schemas.openxmlformats.org/spreadsheetml/2006/main">
  <x:sheetFormatPr defaultRowHeight="15"/>
  <x:cols>
    <x:col min="1" max="1" width="12" hidden="0" customWidth="1"/>
    <x:col min="2" max="2" width="26" hidden="0" customWidth="1"/>
    <x:col min="3" max="3" width="40" hidden="0" customWidth="1"/>
    <x:col min="4" max="4" width="30" hidden="0" customWidth="1"/>
    <x:col min="5" max="5" width="40" hidden="0" customWidth="1"/>
  </x:cols>
  <x:sheetData>
    <x:row r="1" ht="39" customHeight="1">
      <x:c r="A1" s="11" t="str">
        <x:v>قرارات يجب حسمها قبل تثبيت النطاق والتكلفة</x:v>
      </x:c>
      <x:c r="B1" s="11"/>
      <x:c r="C1" s="11"/>
      <x:c r="D1" s="11"/>
      <x:c r="E1" s="11"/>
    </x:row>
    <x:row r="2" ht="34" customHeight="1">
      <x:c r="A2" s="14" t="str">
        <x:v>هذه البيانات لم تثبت من البروفايل أو عينات الكود. تُستكمل مع ملاك الإدارات وليس بالتخمين.</x:v>
      </x:c>
      <x:c r="B2" s="14"/>
      <x:c r="C2" s="14"/>
      <x:c r="D2" s="14"/>
      <x:c r="E2" s="14"/>
    </x:row>
    <x:row r="3" ht="9" customHeight="1">
      <x:c r="A3" s="5"/>
      <x:c r="B3" s="5"/>
      <x:c r="C3" s="5"/>
      <x:c r="D3" s="5"/>
      <x:c r="E3" s="5"/>
    </x:row>
    <x:row r="4" ht="32" customHeight="1">
      <x:c r="A4" s="17" t="str">
        <x:v>الرمز</x:v>
      </x:c>
      <x:c r="B4" s="17" t="str">
        <x:v>القرار</x:v>
      </x:c>
      <x:c r="C4" s="17" t="str">
        <x:v>المطلوب تحديده</x:v>
      </x:c>
      <x:c r="D4" s="17" t="str">
        <x:v>صاحب القرار</x:v>
      </x:c>
      <x:c r="E4" s="17" t="str">
        <x:v>سبب الحاجة</x:v>
      </x:c>
    </x:row>
    <x:row r="5" ht="78" customHeight="1">
      <x:c r="A5" s="5" t="str">
        <x:v>DEC01</x:v>
      </x:c>
      <x:c r="B5" s="5" t="str">
        <x:v>الهيكل المعتمد</x:v>
      </x:c>
      <x:c r="C5" s="5" t="str">
        <x:v>أسماء الإدارات وخطوط التقرير والوظائف المعتمدة</x:v>
      </x:c>
      <x:c r="D5" s="5" t="str">
        <x:v>HR / الإدارة</x:v>
      </x:c>
      <x:c r="E5" s="5" t="str">
        <x:v>الهيكل ومسميات القيادة في البروفايل لا يكفيان</x:v>
      </x:c>
    </x:row>
    <x:row r="6" ht="78" customHeight="1">
      <x:c r="A6" s="5" t="str">
        <x:v>DEC02</x:v>
      </x:c>
      <x:c r="B6" s="5" t="str">
        <x:v>نطاق الكيانات</x:v>
      </x:c>
      <x:c r="C6" s="5" t="str">
        <x:v>هل المنصة للشركة وحدها أم للاتحاد وجهات أخرى؟</x:v>
      </x:c>
      <x:c r="D6" s="5" t="str">
        <x:v>الإدارة / القانونية</x:v>
      </x:c>
      <x:c r="E6" s="5" t="str">
        <x:v>أساسي لعزل البيانات والتعاقد</x:v>
      </x:c>
    </x:row>
    <x:row r="7" ht="78" customHeight="1">
      <x:c r="A7" s="5" t="str">
        <x:v>DEC03</x:v>
      </x:c>
      <x:c r="B7" s="5" t="str">
        <x:v>ملاك العمليات</x:v>
      </x:c>
      <x:c r="C7" s="5" t="str">
        <x:v>من يملك كل مسار ويقبل مخرجاته؟</x:v>
      </x:c>
      <x:c r="D7" s="5" t="str">
        <x:v>الإدارة</x:v>
      </x:c>
      <x:c r="E7" s="5" t="str">
        <x:v>لا يوضع العبء كله على HR</x:v>
      </x:c>
    </x:row>
    <x:row r="8" ht="78" customHeight="1">
      <x:c r="A8" s="5" t="str">
        <x:v>DEC04</x:v>
      </x:c>
      <x:c r="B8" s="5" t="str">
        <x:v>جرد الأنظمة</x:v>
      </x:c>
      <x:c r="C8" s="5" t="str">
        <x:v>الأنظمة المستخدمة فعلًا والتراخيص والملاك والموردون</x:v>
      </x:c>
      <x:c r="D8" s="5" t="str">
        <x:v>التقنية / المالية / HR</x:v>
      </x:c>
      <x:c r="E8" s="5" t="str">
        <x:v>لا يستنتج استخدام SAP أو جسر من تسمية في الكود</x:v>
      </x:c>
    </x:row>
    <x:row r="9" ht="78" customHeight="1">
      <x:c r="A9" s="5" t="str">
        <x:v>DEC05</x:v>
      </x:c>
      <x:c r="B9" s="5" t="str">
        <x:v>مصدر الحقيقة</x:v>
      </x:c>
      <x:c r="C9" s="5" t="str">
        <x:v>النظام والمالك لكل حقل وحالة عملية</x:v>
      </x:c>
      <x:c r="D9" s="5" t="str">
        <x:v>مالك البيانات</x:v>
      </x:c>
      <x:c r="E9" s="5" t="str">
        <x:v>حسم قبل أي مزامنة ثنائية</x:v>
      </x:c>
    </x:row>
    <x:row r="10" ht="78" customHeight="1">
      <x:c r="A10" s="5" t="str">
        <x:v>DEC06</x:v>
      </x:c>
      <x:c r="B10" s="5" t="str">
        <x:v>التفويض</x:v>
      </x:c>
      <x:c r="C10" s="5" t="str">
        <x:v>حدود مالية وتسلسل وبدلاء وتعارض مصالح</x:v>
      </x:c>
      <x:c r="D10" s="5" t="str">
        <x:v>الإدارة / المالية</x:v>
      </x:c>
      <x:c r="E10" s="5" t="str">
        <x:v>لا تفترض مبالغ اعتماد من دون سياسة</x:v>
      </x:c>
    </x:row>
    <x:row r="11" ht="78" customHeight="1">
      <x:c r="A11" s="5" t="str">
        <x:v>DEC07</x:v>
      </x:c>
      <x:c r="B11" s="5" t="str">
        <x:v>أحجام الاستخدام</x:v>
      </x:c>
      <x:c r="C11" s="5" t="str">
        <x:v>موظفون فعليون ومستخدمون خارجيون ومشاريع ومعاملات وحجم فيديو</x:v>
      </x:c>
      <x:c r="D11" s="5" t="str">
        <x:v>كل الملاك</x:v>
      </x:c>
      <x:c r="E11" s="5" t="str">
        <x:v>أرقام البروفايل التاريخية لا تكفي للسعة</x:v>
      </x:c>
    </x:row>
    <x:row r="12" ht="78" customHeight="1">
      <x:c r="A12" s="5" t="str">
        <x:v>DEC08</x:v>
      </x:c>
      <x:c r="B12" s="5" t="str">
        <x:v>المالية والرواتب</x:v>
      </x:c>
      <x:c r="C12" s="5" t="str">
        <x:v>المرجع الرسمي وآلية الإقفال والبنك والفوترة وقبول التقارير</x:v>
      </x:c>
      <x:c r="D12" s="5" t="str">
        <x:v>المالية / HR</x:v>
      </x:c>
      <x:c r="E12" s="5" t="str">
        <x:v>أعلى مخاطرة في الإحلال</x:v>
      </x:c>
    </x:row>
    <x:row r="13" ht="78" customHeight="1">
      <x:c r="A13" s="5" t="str">
        <x:v>DEC09</x:v>
      </x:c>
      <x:c r="B13" s="5" t="str">
        <x:v>الاستضافة والبيانات</x:v>
      </x:c>
      <x:c r="C13" s="5" t="str">
        <x:v>المواقع والمعالجون والمتعهدون والنسخ والدعم والنقل</x:v>
      </x:c>
      <x:c r="D13" s="5" t="str">
        <x:v>الأمن / القانونية</x:v>
      </x:c>
      <x:c r="E13" s="5" t="str">
        <x:v>الاختيار بناء على الانطباق والتصنيف</x:v>
      </x:c>
    </x:row>
    <x:row r="14" ht="78" customHeight="1">
      <x:c r="A14" s="5" t="str">
        <x:v>DEC10</x:v>
      </x:c>
      <x:c r="B14" s="5" t="str">
        <x:v>ملكية المشاريع والمصدر</x:v>
      </x:c>
      <x:c r="C14" s="5" t="str">
        <x:v>مالك مؤسسي ومشرف بديل وربط GitHub وحق الخروج</x:v>
      </x:c>
      <x:c r="D14" s="5" t="str">
        <x:v>الإدارة / التقنية</x:v>
      </x:c>
      <x:c r="E14" s="5" t="str">
        <x:v>23 مشروعًا متاحة لا تعني كلها أصول شركة</x:v>
      </x:c>
    </x:row>
    <x:row r="15" ht="78" customHeight="1">
      <x:c r="A15" s="5" t="str">
        <x:v>DEC11</x:v>
      </x:c>
      <x:c r="B15" s="5" t="str">
        <x:v>حدود المنتج الأول</x:v>
      </x:c>
      <x:c r="C15" s="5" t="str">
        <x:v>مساران أو ثلاثة يحققون قيمة ويختبرون البنية</x:v>
      </x:c>
      <x:c r="D15" s="5" t="str">
        <x:v>مالك المنتج / الإدارات</x:v>
      </x:c>
      <x:c r="E15" s="5" t="str">
        <x:v>لا يبدأ تنفيذ 220 متطلبًا دفعة واحدة</x:v>
      </x:c>
    </x:row>
    <x:row r="16" ht="78" customHeight="1">
      <x:c r="A16" s="5" t="str">
        <x:v>DEC12</x:v>
      </x:c>
      <x:c r="B16" s="5" t="str">
        <x:v>الميزانية والفريق</x:v>
      </x:c>
      <x:c r="C16" s="5" t="str">
        <x:v>تمويل بناء وتكامل واختبار وتشغيل ودعم واستمرارية</x:v>
      </x:c>
      <x:c r="D16" s="5" t="str">
        <x:v>الراعي / المالية</x:v>
      </x:c>
      <x:c r="E16" s="5" t="str">
        <x:v>لا سعر موثوق من عدد الشاشات أو الجداول</x:v>
      </x:c>
    </x:row>
    <x:row r="17" ht="78" customHeight="1">
      <x:c r="A17" s="5" t="str">
        <x:v>DEC13</x:v>
      </x:c>
      <x:c r="B17" s="5" t="str">
        <x:v>معايير الإطلاق</x:v>
      </x:c>
      <x:c r="C17" s="5" t="str">
        <x:v>اختبارات أمن ومال وHR وأداء وقبول وتدريب</x:v>
      </x:c>
      <x:c r="D17" s="5" t="str">
        <x:v>QA / ملاك الأعمال</x:v>
      </x:c>
      <x:c r="E17" s="5" t="str">
        <x:v>لا إقرار جاهزية من لقطة شاشة</x:v>
      </x:c>
    </x:row>
    <x:row r="18" ht="78" customHeight="1">
      <x:c r="A18" s="5" t="str">
        <x:v>DEC14</x:v>
      </x:c>
      <x:c r="B18" s="5" t="str">
        <x:v>الترحيل والرجوع</x:v>
      </x:c>
      <x:c r="C18" s="5" t="str">
        <x:v>الأرشيف وخطة قطع وتجميد وتطابق وخطة عودة</x:v>
      </x:c>
      <x:c r="D18" s="5" t="str">
        <x:v>التقنية / ملاك البيانات</x:v>
      </x:c>
      <x:c r="E18" s="5" t="str">
        <x:v>اختبار الاستعادة قبل القطع</x:v>
      </x:c>
    </x:row>
    <x:row r="19" ht="78" customHeight="1">
      <x:c r="A19" s="5" t="str">
        <x:v>DEC15</x:v>
      </x:c>
      <x:c r="B19" s="5" t="str">
        <x:v>المشاركة والسرية</x:v>
      </x:c>
      <x:c r="C19" s="5" t="str">
        <x:v>جمهور الاستبانات والشكاوى وحدود التقرير التنفيذي</x:v>
      </x:c>
      <x:c r="D19" s="5" t="str">
        <x:v>HR / الخصوصية</x:v>
      </x:c>
      <x:c r="E19" s="5" t="str">
        <x:v>التجميع التنفيذي لا يحتاج هوية كل بلاغ</x:v>
      </x:c>
    </x:row>
  </x:sheetData>
  <x:mergeCells>
    <x:mergeCell ref="A1:E1"/>
    <x:mergeCell ref="A2:E2"/>
  </x:mergeCells>
  <x:pageMargins left="0.7" right="0.7" top="0.75" bottom="0.75" header="0.3" footer="0.3"/>
  <x:tableParts count="1">
    <x:tablePart xmlns:r="http://schemas.openxmlformats.org/officeDocument/2006/relationships" r:id="R4dd13e3ad68c4edd"/>
  </x:tableParts>
</x:worksheet>
</file>

<file path=xl/worksheets/sheet11.xml><?xml version="1.0" encoding="utf-8"?>
<x:worksheet xmlns:x="http://schemas.openxmlformats.org/spreadsheetml/2006/main">
  <x:sheetFormatPr defaultRowHeight="15"/>
  <x:cols>
    <x:col min="1" max="1" width="12" hidden="0" customWidth="1"/>
    <x:col min="2" max="2" width="29" hidden="0" customWidth="1"/>
    <x:col min="3" max="3" width="40" hidden="0" customWidth="1"/>
    <x:col min="4" max="4" width="40" hidden="0" customWidth="1"/>
    <x:col min="5" max="5" width="40" hidden="0" customWidth="1"/>
  </x:cols>
  <x:sheetData>
    <x:row r="1" ht="39" customHeight="1">
      <x:c r="A1" s="11" t="str">
        <x:v>سجل المصادر وحدود استخدامها</x:v>
      </x:c>
      <x:c r="B1" s="11"/>
      <x:c r="C1" s="11"/>
      <x:c r="D1" s="11"/>
      <x:c r="E1" s="11"/>
    </x:row>
    <x:row r="2" ht="34" customHeight="1">
      <x:c r="A2" s="14" t="str">
        <x:v>قراءة حتى 9 سبتمبر 2026. المصادر الرسمية للاستئناس بالمتطلبات؛ التطبيق النظامي يراجعه المسؤول المختص.</x:v>
      </x:c>
      <x:c r="B2" s="14"/>
      <x:c r="C2" s="14"/>
      <x:c r="D2" s="14"/>
      <x:c r="E2" s="14"/>
    </x:row>
    <x:row r="3" ht="9" customHeight="1">
      <x:c r="A3" s="5"/>
      <x:c r="B3" s="5"/>
      <x:c r="C3" s="5"/>
      <x:c r="D3" s="5"/>
      <x:c r="E3" s="5"/>
    </x:row>
    <x:row r="4" ht="32" customHeight="1">
      <x:c r="A4" s="17" t="str">
        <x:v>المرجع</x:v>
      </x:c>
      <x:c r="B4" s="17" t="str">
        <x:v>الفئة</x:v>
      </x:c>
      <x:c r="C4" s="17" t="str">
        <x:v>الوثيقة / الدليل</x:v>
      </x:c>
      <x:c r="D4" s="17" t="str">
        <x:v>الرابط</x:v>
      </x:c>
      <x:c r="E4" s="17" t="str">
        <x:v>نطاق الاستدلال</x:v>
      </x:c>
    </x:row>
    <x:row r="5" ht="95" customHeight="1">
      <x:c r="A5" s="5" t="str">
        <x:v>S01</x:v>
      </x:c>
      <x:c r="B5" s="5" t="str">
        <x:v>الملف التعريفي للشركة</x:v>
      </x:c>
      <x:c r="C5" s="5" t="str">
        <x:v>3,6T Profile 2026Feb Ar URLD.pdf؛ 62 صفحة؛ خدمات ص7، فريق ص60</x:v>
      </x:c>
      <x:c r="D5" s="5" t="str">
        <x:v>https://drive.google.com/file/d/1tpDQzQsDgzfT8XoFyGsH8ZkER23eKO40/view</x:v>
      </x:c>
      <x:c r="E5" s="5" t="str">
        <x:v>محتوى الشركة؛ أرقام البروفايل مؤرخة وليست بيانات اليوم</x:v>
      </x:c>
    </x:row>
    <x:row r="6" ht="95" customHeight="1">
      <x:c r="A6" s="5" t="str">
        <x:v>S02</x:v>
      </x:c>
      <x:c r="B6" s="5" t="str">
        <x:v>GitHub</x:v>
      </x:c>
      <x:c r="C6" s="5" t="str">
        <x:v>turki-stack/g؛ الشجرة عند commit 40b34b34d63679ecfd93000d178d155c0b0457e2</x:v>
      </x:c>
      <x:c r="D6" s="5" t="str">
        <x:v>https://github.com/turki-stack/g/commit/40b34b34d63679ecfd93000d178d155c0b0457e2</x:v>
      </x:c>
      <x:c r="E6" s="5" t="str">
        <x:v>README.md فقط في نطاق الوصول</x:v>
      </x:c>
    </x:row>
    <x:row r="7" ht="95" customHeight="1">
      <x:c r="A7" s="5" t="str">
        <x:v>S03</x:v>
      </x:c>
      <x:c r="B7" s="5" t="str">
        <x:v>Lovable — الجرد</x:v>
      </x:c>
      <x:c r="C7" s="5" t="str">
        <x:v>list_workspaces وlist_projects؛ 3 مساحات و23 مشروعًا</x:v>
      </x:c>
      <x:c r="D7" s="5" t="str">
        <x:v>https://lovable.dev</x:v>
      </x:c>
      <x:c r="E7" s="5" t="str">
        <x:v>الجرد وصفي؛ النشر لا يثبت صحة الصلاحيات أو جاهزية الوظائف</x:v>
      </x:c>
    </x:row>
    <x:row r="8" ht="95" customHeight="1">
      <x:c r="A8" s="5" t="str">
        <x:v>S04</x:v>
      </x:c>
      <x:c r="B8" s="5" t="str">
        <x:v>Lovable — بوابة 360</x:v>
      </x:c>
      <x:c r="C8" s="5" t="str">
        <x:v>33b3cb53-d107-4a33-86b4-f958b21171ad؛ access.ts / integrations.ts / payroll.ts / zatca.ts / package.json / pg_policies</x:v>
      </x:c>
      <x:c r="D8" s="5" t="str">
        <x:v>https://its-a-file-thing.lovable.app</x:v>
      </x:c>
      <x:c r="E8" s="5" t="str">
        <x:v>قراءة ساكنة وبيانات وصفية لقاعدة البيانات؛ دون معاملات تجريبية</x:v>
      </x:c>
    </x:row>
    <x:row r="9" ht="95" customHeight="1">
      <x:c r="A9" s="5" t="str">
        <x:v>S05</x:v>
      </x:c>
      <x:c r="B9" s="5" t="str">
        <x:v>Lovable — HR</x:v>
      </x:c>
      <x:c r="C9" s="5" t="str">
        <x:v>7e4106a9-ca0e-4bda-9e3d-350ab1c811c2؛ queries.ts وAttendancePage.tsx</x:v>
      </x:c>
      <x:c r="D9" s="5" t="str">
        <x:v>https://interactive-3d-portals.lovable.app</x:v>
      </x:c>
      <x:c r="E9" s="5" t="str">
        <x:v>لا يعاد نشر السر الموجود في الوصف</x:v>
      </x:c>
    </x:row>
    <x:row r="10" ht="95" customHeight="1">
      <x:c r="A10" s="5" t="str">
        <x:v>S06</x:v>
      </x:c>
      <x:c r="B10" s="5" t="str">
        <x:v>Lovable — التقارير</x:v>
      </x:c>
      <x:c r="C10" s="5" t="str">
        <x:v>061ed63a-5144-4b5b-a0ae-b43804b69bf9؛ reports.ts</x:v>
      </x:c>
      <x:c r="D10" s="5" t="str">
        <x:v>https://ceoreport.lovable.app</x:v>
      </x:c>
      <x:c r="E10" s="5" t="str">
        <x:v>فحص نموذج البيانات لا تدقيق الأرقام</x:v>
      </x:c>
    </x:row>
    <x:row r="11" ht="95" customHeight="1">
      <x:c r="A11" s="5" t="str">
        <x:v>S07</x:v>
      </x:c>
      <x:c r="B11" s="5" t="str">
        <x:v>Lovable — صوتك مسموع</x:v>
      </x:c>
      <x:c r="C11" s="5" t="str">
        <x:v>b58121e9-e6ee-4a46-ae71-ad1aa1157630؛ سياسات وبنية وامتيازات submissions</x:v>
      </x:c>
      <x:c r="D11" s="5" t="str">
        <x:v>https://yourvoice360.lovable.app</x:v>
      </x:c>
      <x:c r="E11" s="5" t="str">
        <x:v>دون الاطلاع على نصوص الشكاوى</x:v>
      </x:c>
    </x:row>
    <x:row r="12" ht="95" customHeight="1">
      <x:c r="A12" s="5" t="str">
        <x:v>S08</x:v>
      </x:c>
      <x:c r="B12" s="5" t="str">
        <x:v>Supabase</x:v>
      </x:c>
      <x:c r="C12" s="5" t="str">
        <x:v>Row Level Security — grants and policies</x:v>
      </x:c>
      <x:c r="D12" s="5" t="str">
        <x:v>https://supabase.com/docs/guides/database/postgres/row-level-security</x:v>
      </x:c>
      <x:c r="E12" s="5" t="str">
        <x:v>تفسير الأمان؛ راجع 9 سبتمبر 2026</x:v>
      </x:c>
    </x:row>
    <x:row r="13" ht="95" customHeight="1">
      <x:c r="A13" s="5" t="str">
        <x:v>S09</x:v>
      </x:c>
      <x:c r="B13" s="5" t="str">
        <x:v>Lovable</x:v>
      </x:c>
      <x:c r="C13" s="5" t="str">
        <x:v>GitHub integration</x:v>
      </x:c>
      <x:c r="D13" s="5" t="str">
        <x:v>https://docs.lovable.dev/integrations/github</x:v>
      </x:c>
      <x:c r="E13" s="5" t="str">
        <x:v>تخزين المصدر والمزامنة والتعاون؛ راجع 9 سبتمبر 2026</x:v>
      </x:c>
    </x:row>
    <x:row r="14" ht="95" customHeight="1">
      <x:c r="A14" s="5" t="str">
        <x:v>S10</x:v>
      </x:c>
      <x:c r="B14" s="5" t="str">
        <x:v>Lovable</x:v>
      </x:c>
      <x:c r="C14" s="5" t="str">
        <x:v>Project visibility</x:v>
      </x:c>
      <x:c r="D14" s="5" t="str">
        <x:v>https://docs.lovable.dev/features/project-visibility</x:v>
      </x:c>
      <x:c r="E14" s="5" t="str">
        <x:v>الوصول للمشروع مختلف عن الوصول للموقع المنشور</x:v>
      </x:c>
    </x:row>
    <x:row r="15" ht="95" customHeight="1">
      <x:c r="A15" s="5" t="str">
        <x:v>S11</x:v>
      </x:c>
      <x:c r="B15" s="5" t="str">
        <x:v>Lovable</x:v>
      </x:c>
      <x:c r="C15" s="5" t="str">
        <x:v>Deployment, hosting and ownership</x:v>
      </x:c>
      <x:c r="D15" s="5" t="str">
        <x:v>https://docs.lovable.dev/tips-tricks/deployment-hosting-ownership</x:v>
      </x:c>
      <x:c r="E15" s="5" t="str">
        <x:v>خيارات استضافة التطبيق لا تعني استضافة محرر Lovable نفسه</x:v>
      </x:c>
    </x:row>
    <x:row r="16" ht="95" customHeight="1">
      <x:c r="A16" s="5" t="str">
        <x:v>S12</x:v>
      </x:c>
      <x:c r="B16" s="5" t="str">
        <x:v>SDAIA</x:v>
      </x:c>
      <x:c r="C16" s="5" t="str">
        <x:v>نظام حماية البيانات الشخصية ولوائح النقل</x:v>
      </x:c>
      <x:c r="D16" s="5" t="str">
        <x:v>https://dgp.sdaia.gov.sa</x:v>
      </x:c>
      <x:c r="E16" s="5" t="str">
        <x:v>مرجع قانوني؛ يلزم تحديد الانطباق ومسار البيانات</x:v>
      </x:c>
    </x:row>
    <x:row r="17" ht="95" customHeight="1">
      <x:c r="A17" s="5" t="str">
        <x:v>S13</x:v>
      </x:c>
      <x:c r="B17" s="5" t="str">
        <x:v>NCA</x:v>
      </x:c>
      <x:c r="C17" s="5" t="str">
        <x:v>ضوابط القطاع الخاص من غير ذوات البنى التحتية الحساسة</x:v>
      </x:c>
      <x:c r="D17" s="5" t="str">
        <x:v>https://nca.gov.sa/ar/regulatory-documents/controls-list/ncnicc/</x:v>
      </x:c>
      <x:c r="E17" s="5" t="str">
        <x:v>منشورة 28 ديسمبر 2025؛ تحديد الانطباق بواسطة المختص</x:v>
      </x:c>
    </x:row>
    <x:row r="18" ht="95" customHeight="1">
      <x:c r="A18" s="5" t="str">
        <x:v>S14</x:v>
      </x:c>
      <x:c r="B18" s="5" t="str">
        <x:v>ZATCA</x:v>
      </x:c>
      <x:c r="C18" s="5" t="str">
        <x:v>E-Invoice specifications</x:v>
      </x:c>
      <x:c r="D18" s="5" t="str">
        <x:v>https://zatca.gov.sa/en/E-Invoicing/SystemsDevelopers/Pages/E-Invoice-specifications.aspx</x:v>
      </x:c>
      <x:c r="E18" s="5" t="str">
        <x:v>التوافق يحتاج متطلبات تقنية وأمنية وربطًا حقيقيًا عند الانطباق</x:v>
      </x:c>
    </x:row>
    <x:row r="19" ht="95" customHeight="1">
      <x:c r="A19" s="5" t="str">
        <x:v>S15</x:v>
      </x:c>
      <x:c r="B19" s="5" t="str">
        <x:v>GOSI</x:v>
      </x:c>
      <x:c r="C19" s="5" t="str">
        <x:v>نسب وتصنيف الاشتراك في النظام الجديد</x:v>
      </x:c>
      <x:c r="D19" s="5" t="str">
        <x:v>https://awareness.gosi.gov.sa/businessJourney.html</x:v>
      </x:c>
      <x:c r="E19" s="5" t="str">
        <x:v>القواعد تختلف حسب تصنيف المشترك وتاريخ السريان</x:v>
      </x:c>
    </x:row>
    <x:row r="20" ht="95" customHeight="1">
      <x:c r="A20" s="5" t="str">
        <x:v>S16</x:v>
      </x:c>
      <x:c r="B20" s="5" t="str">
        <x:v>HRSD</x:v>
      </x:c>
      <x:c r="C20" s="5" t="str">
        <x:v>علاقات العمل — المواد 84 و85 وغيرها</x:v>
      </x:c>
      <x:c r="D20" s="5" t="str">
        <x:v>https://www.hrsd.gov.sa/علاقات-العمل</x:v>
      </x:c>
      <x:c r="E20" s="5" t="str">
        <x:v>مكافأة نهاية الخدمة حسب الحالة والقواعد؛ ليس هذا التقرير استشارة لحالة فردية</x:v>
      </x:c>
    </x:row>
  </x:sheetData>
  <x:mergeCells>
    <x:mergeCell ref="A1:E1"/>
    <x:mergeCell ref="A2:E2"/>
  </x:mergeCells>
  <x:pageMargins left="0.7" right="0.7" top="0.75" bottom="0.75" header="0.3" footer="0.3"/>
  <x:tableParts count="1">
    <x:tablePart xmlns:r="http://schemas.openxmlformats.org/officeDocument/2006/relationships" r:id="Rc6a5f46a37d24d96"/>
  </x:tableParts>
</x:worksheet>
</file>